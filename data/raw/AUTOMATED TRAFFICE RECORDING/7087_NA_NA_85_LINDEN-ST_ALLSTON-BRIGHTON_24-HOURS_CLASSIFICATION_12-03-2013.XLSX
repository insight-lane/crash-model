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DI Dell\Desktop\PDI Folder\133651\"/>
    </mc:Choice>
  </mc:AlternateContent>
  <bookViews>
    <workbookView xWindow="0" yWindow="0" windowWidth="28800" windowHeight="13845"/>
  </bookViews>
  <sheets>
    <sheet name="Classification-1" sheetId="3" r:id="rId1"/>
    <sheet name="Classification-2" sheetId="6" r:id="rId2"/>
    <sheet name="Classification-Combined" sheetId="7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7" l="1"/>
  <c r="C10" i="7"/>
  <c r="D10" i="7"/>
  <c r="E10" i="7"/>
  <c r="F10" i="7"/>
  <c r="G10" i="7"/>
  <c r="H10" i="7"/>
  <c r="I10" i="7"/>
  <c r="J10" i="7"/>
  <c r="K10" i="7"/>
  <c r="L10" i="7"/>
  <c r="M10" i="7"/>
  <c r="N10" i="7"/>
  <c r="B11" i="7"/>
  <c r="C11" i="7"/>
  <c r="D11" i="7"/>
  <c r="E11" i="7"/>
  <c r="F11" i="7"/>
  <c r="F34" i="7" s="1"/>
  <c r="G11" i="7"/>
  <c r="H11" i="7"/>
  <c r="I11" i="7"/>
  <c r="J11" i="7"/>
  <c r="J34" i="7" s="1"/>
  <c r="K11" i="7"/>
  <c r="L11" i="7"/>
  <c r="M11" i="7"/>
  <c r="N11" i="7"/>
  <c r="N34" i="7" s="1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B13" i="7"/>
  <c r="O13" i="7" s="1"/>
  <c r="C13" i="7"/>
  <c r="D13" i="7"/>
  <c r="E13" i="7"/>
  <c r="F13" i="7"/>
  <c r="G13" i="7"/>
  <c r="H13" i="7"/>
  <c r="I13" i="7"/>
  <c r="J13" i="7"/>
  <c r="K13" i="7"/>
  <c r="L13" i="7"/>
  <c r="M13" i="7"/>
  <c r="N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B17" i="7"/>
  <c r="O17" i="7" s="1"/>
  <c r="C17" i="7"/>
  <c r="D17" i="7"/>
  <c r="E17" i="7"/>
  <c r="F17" i="7"/>
  <c r="G17" i="7"/>
  <c r="H17" i="7"/>
  <c r="I17" i="7"/>
  <c r="J17" i="7"/>
  <c r="K17" i="7"/>
  <c r="L17" i="7"/>
  <c r="M17" i="7"/>
  <c r="N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B21" i="7"/>
  <c r="O21" i="7" s="1"/>
  <c r="C21" i="7"/>
  <c r="D21" i="7"/>
  <c r="E21" i="7"/>
  <c r="F21" i="7"/>
  <c r="G21" i="7"/>
  <c r="H21" i="7"/>
  <c r="I21" i="7"/>
  <c r="J21" i="7"/>
  <c r="K21" i="7"/>
  <c r="L21" i="7"/>
  <c r="M21" i="7"/>
  <c r="N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O25" i="7" s="1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B29" i="7"/>
  <c r="O29" i="7" s="1"/>
  <c r="C29" i="7"/>
  <c r="D29" i="7"/>
  <c r="E29" i="7"/>
  <c r="F29" i="7"/>
  <c r="G29" i="7"/>
  <c r="H29" i="7"/>
  <c r="I29" i="7"/>
  <c r="J29" i="7"/>
  <c r="K29" i="7"/>
  <c r="L29" i="7"/>
  <c r="M29" i="7"/>
  <c r="N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C9" i="7"/>
  <c r="D9" i="7"/>
  <c r="E9" i="7"/>
  <c r="F9" i="7"/>
  <c r="G9" i="7"/>
  <c r="H9" i="7"/>
  <c r="I9" i="7"/>
  <c r="J9" i="7"/>
  <c r="K9" i="7"/>
  <c r="L9" i="7"/>
  <c r="M9" i="7"/>
  <c r="N9" i="7"/>
  <c r="B9" i="7"/>
  <c r="B34" i="7" s="1"/>
  <c r="D38" i="7" s="1"/>
  <c r="L34" i="7"/>
  <c r="H34" i="7"/>
  <c r="D34" i="7"/>
  <c r="O31" i="7"/>
  <c r="O27" i="7"/>
  <c r="O23" i="7"/>
  <c r="O19" i="7"/>
  <c r="O15" i="7"/>
  <c r="O11" i="7"/>
  <c r="N34" i="6"/>
  <c r="M34" i="6"/>
  <c r="L34" i="6"/>
  <c r="K34" i="6"/>
  <c r="J34" i="6"/>
  <c r="I34" i="6"/>
  <c r="H34" i="6"/>
  <c r="G34" i="6"/>
  <c r="F34" i="6"/>
  <c r="E34" i="6"/>
  <c r="D40" i="6" s="1"/>
  <c r="D34" i="6"/>
  <c r="C34" i="6"/>
  <c r="D39" i="6" s="1"/>
  <c r="B34" i="6"/>
  <c r="D38" i="6" s="1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10" i="3"/>
  <c r="D34" i="3"/>
  <c r="F34" i="3"/>
  <c r="H34" i="3"/>
  <c r="J34" i="3"/>
  <c r="L34" i="3"/>
  <c r="N34" i="3"/>
  <c r="O12" i="3"/>
  <c r="O14" i="3"/>
  <c r="O16" i="3"/>
  <c r="O18" i="3"/>
  <c r="O20" i="3"/>
  <c r="O22" i="3"/>
  <c r="O24" i="3"/>
  <c r="O26" i="3"/>
  <c r="O28" i="3"/>
  <c r="O30" i="3"/>
  <c r="O32" i="3"/>
  <c r="M34" i="3"/>
  <c r="K34" i="3"/>
  <c r="I34" i="3"/>
  <c r="G34" i="3"/>
  <c r="E34" i="3"/>
  <c r="C34" i="3"/>
  <c r="D39" i="3" s="1"/>
  <c r="O31" i="3"/>
  <c r="O29" i="3"/>
  <c r="O27" i="3"/>
  <c r="O25" i="3"/>
  <c r="O23" i="3"/>
  <c r="O21" i="3"/>
  <c r="O19" i="3"/>
  <c r="O17" i="3"/>
  <c r="O15" i="3"/>
  <c r="O13" i="3"/>
  <c r="O11" i="3"/>
  <c r="D40" i="3" l="1"/>
  <c r="O9" i="7"/>
  <c r="O34" i="7" s="1"/>
  <c r="O32" i="7"/>
  <c r="O30" i="7"/>
  <c r="O28" i="7"/>
  <c r="O26" i="7"/>
  <c r="O24" i="7"/>
  <c r="O22" i="7"/>
  <c r="O20" i="7"/>
  <c r="O18" i="7"/>
  <c r="O16" i="7"/>
  <c r="O14" i="7"/>
  <c r="O12" i="7"/>
  <c r="M34" i="7"/>
  <c r="K34" i="7"/>
  <c r="I34" i="7"/>
  <c r="G34" i="7"/>
  <c r="E34" i="7"/>
  <c r="C34" i="7"/>
  <c r="O10" i="7"/>
  <c r="D39" i="7"/>
  <c r="D40" i="7"/>
  <c r="O34" i="6"/>
  <c r="M35" i="6"/>
  <c r="K35" i="6"/>
  <c r="I35" i="6"/>
  <c r="G35" i="6"/>
  <c r="E35" i="6"/>
  <c r="C35" i="6"/>
  <c r="E40" i="6"/>
  <c r="E39" i="6"/>
  <c r="N35" i="6"/>
  <c r="L35" i="6"/>
  <c r="J35" i="6"/>
  <c r="H35" i="6"/>
  <c r="F35" i="6"/>
  <c r="D35" i="6"/>
  <c r="B35" i="6"/>
  <c r="E38" i="6"/>
  <c r="B34" i="3"/>
  <c r="D38" i="3" s="1"/>
  <c r="O9" i="3"/>
  <c r="O34" i="3" s="1"/>
  <c r="E40" i="3" s="1"/>
  <c r="E40" i="7" l="1"/>
  <c r="J35" i="7"/>
  <c r="B35" i="7"/>
  <c r="G35" i="7"/>
  <c r="N35" i="7"/>
  <c r="F35" i="7"/>
  <c r="K35" i="7"/>
  <c r="C35" i="7"/>
  <c r="E39" i="3"/>
  <c r="E38" i="3"/>
  <c r="E39" i="7"/>
  <c r="E38" i="7"/>
  <c r="E35" i="7"/>
  <c r="I35" i="7"/>
  <c r="M35" i="7"/>
  <c r="D35" i="7"/>
  <c r="H35" i="7"/>
  <c r="L35" i="7"/>
  <c r="N35" i="3"/>
  <c r="J35" i="3"/>
  <c r="F35" i="3"/>
  <c r="B35" i="3"/>
  <c r="K35" i="3"/>
  <c r="G35" i="3"/>
  <c r="C35" i="3"/>
  <c r="L35" i="3"/>
  <c r="H35" i="3"/>
  <c r="D35" i="3"/>
  <c r="M35" i="3"/>
  <c r="I35" i="3"/>
  <c r="E35" i="3"/>
</calcChain>
</file>

<file path=xl/sharedStrings.xml><?xml version="1.0" encoding="utf-8"?>
<sst xmlns="http://schemas.openxmlformats.org/spreadsheetml/2006/main" count="119" uniqueCount="35">
  <si>
    <t>Location:</t>
  </si>
  <si>
    <t>Date:</t>
  </si>
  <si>
    <t>#20 Elmhurst Street</t>
  </si>
  <si>
    <t>Dorchester, MA</t>
  </si>
  <si>
    <t>NB</t>
  </si>
  <si>
    <t>SB</t>
  </si>
  <si>
    <t>Total</t>
  </si>
  <si>
    <t>Neighborhood:</t>
  </si>
  <si>
    <t>Time</t>
  </si>
  <si>
    <t>Percent</t>
  </si>
  <si>
    <t>Classification</t>
  </si>
  <si>
    <t>Motor</t>
  </si>
  <si>
    <t>Cycle</t>
  </si>
  <si>
    <t>Cars &amp;</t>
  </si>
  <si>
    <t>Trailers</t>
  </si>
  <si>
    <t>2 Axle</t>
  </si>
  <si>
    <t>Long</t>
  </si>
  <si>
    <t>Buses</t>
  </si>
  <si>
    <t>6 Tire</t>
  </si>
  <si>
    <t>3 Axle</t>
  </si>
  <si>
    <t>Single</t>
  </si>
  <si>
    <t>4 Axle</t>
  </si>
  <si>
    <t>&lt;5 Axle</t>
  </si>
  <si>
    <t>Double</t>
  </si>
  <si>
    <t>5 Axle</t>
  </si>
  <si>
    <t>&gt;6 Axle</t>
  </si>
  <si>
    <t>Multi</t>
  </si>
  <si>
    <t>6 Axle</t>
  </si>
  <si>
    <t>Motorcycles:</t>
  </si>
  <si>
    <t>Cars and Light Trucks:</t>
  </si>
  <si>
    <t>Heavy Vehicles:</t>
  </si>
  <si>
    <t>Combined</t>
  </si>
  <si>
    <t xml:space="preserve"> </t>
  </si>
  <si>
    <t>#85 Linden Street</t>
  </si>
  <si>
    <t>Allston,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</si>
</sst>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0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4"/>
    </xf>
    <xf numFmtId="164" fontId="1" fillId="0" borderId="0" xfId="1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" xfId="1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tabSelected="1" workbookViewId="0">
      <selection activeCell="R19" sqref="R19"/>
    </sheetView>
  </sheetViews>
  <sheetFormatPr defaultRowHeight="15" x14ac:dyDescent="0.25"/>
  <cols>
    <col min="1" max="1" width="15.28515625" style="1" customWidth="1"/>
    <col min="3" max="3" width="9.7109375" bestFit="1" customWidth="1"/>
    <col min="4" max="4" width="9.140625" style="1"/>
    <col min="5" max="5" width="9.140625" customWidth="1"/>
  </cols>
  <sheetData>
    <row r="1" spans="1:15" x14ac:dyDescent="0.25">
      <c r="B1" s="5" t="s">
        <v>0</v>
      </c>
      <c r="C1" s="6" t="s">
        <v>33</v>
      </c>
    </row>
    <row r="2" spans="1:15" x14ac:dyDescent="0.25">
      <c r="B2" s="5" t="s">
        <v>1</v>
      </c>
      <c r="C2" s="7">
        <v>41611</v>
      </c>
    </row>
    <row r="3" spans="1:15" x14ac:dyDescent="0.25">
      <c r="B3" s="5" t="s">
        <v>7</v>
      </c>
      <c r="C3" s="6" t="s">
        <v>34</v>
      </c>
    </row>
    <row r="4" spans="1:15" x14ac:dyDescent="0.25">
      <c r="B4" s="5"/>
      <c r="C4" s="6"/>
    </row>
    <row r="5" spans="1:15" x14ac:dyDescent="0.25">
      <c r="A5" s="8" t="s">
        <v>10</v>
      </c>
    </row>
    <row r="6" spans="1:15" x14ac:dyDescent="0.25">
      <c r="A6" s="8" t="s">
        <v>4</v>
      </c>
    </row>
    <row r="7" spans="1:15" x14ac:dyDescent="0.25">
      <c r="A7" s="9"/>
      <c r="B7" s="14" t="s">
        <v>11</v>
      </c>
      <c r="C7" s="14" t="s">
        <v>13</v>
      </c>
      <c r="D7" s="14" t="s">
        <v>15</v>
      </c>
      <c r="E7" s="25" t="s">
        <v>17</v>
      </c>
      <c r="F7" s="14" t="s">
        <v>15</v>
      </c>
      <c r="G7" s="14" t="s">
        <v>19</v>
      </c>
      <c r="H7" s="14" t="s">
        <v>21</v>
      </c>
      <c r="I7" s="14" t="s">
        <v>22</v>
      </c>
      <c r="J7" s="14" t="s">
        <v>24</v>
      </c>
      <c r="K7" s="14" t="s">
        <v>25</v>
      </c>
      <c r="L7" s="14" t="s">
        <v>25</v>
      </c>
      <c r="M7" s="14" t="s">
        <v>27</v>
      </c>
      <c r="N7" s="14" t="s">
        <v>25</v>
      </c>
      <c r="O7" s="14"/>
    </row>
    <row r="8" spans="1:15" s="1" customFormat="1" x14ac:dyDescent="0.25">
      <c r="A8" s="13" t="s">
        <v>8</v>
      </c>
      <c r="B8" s="15" t="s">
        <v>12</v>
      </c>
      <c r="C8" s="15" t="s">
        <v>14</v>
      </c>
      <c r="D8" s="15" t="s">
        <v>16</v>
      </c>
      <c r="E8" s="26"/>
      <c r="F8" s="15" t="s">
        <v>18</v>
      </c>
      <c r="G8" s="15" t="s">
        <v>20</v>
      </c>
      <c r="H8" s="15" t="s">
        <v>20</v>
      </c>
      <c r="I8" s="15" t="s">
        <v>23</v>
      </c>
      <c r="J8" s="15" t="s">
        <v>23</v>
      </c>
      <c r="K8" s="15" t="s">
        <v>23</v>
      </c>
      <c r="L8" s="15" t="s">
        <v>26</v>
      </c>
      <c r="M8" s="15" t="s">
        <v>26</v>
      </c>
      <c r="N8" s="15" t="s">
        <v>26</v>
      </c>
      <c r="O8" s="15" t="s">
        <v>6</v>
      </c>
    </row>
    <row r="9" spans="1:15" x14ac:dyDescent="0.25">
      <c r="A9" s="3">
        <v>0</v>
      </c>
      <c r="B9" s="4">
        <v>0</v>
      </c>
      <c r="C9" s="4">
        <v>32</v>
      </c>
      <c r="D9" s="4">
        <v>7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15">
        <f>SUM(B9:N9)</f>
        <v>39</v>
      </c>
    </row>
    <row r="10" spans="1:15" x14ac:dyDescent="0.25">
      <c r="A10" s="3">
        <v>4.1666666666666664E-2</v>
      </c>
      <c r="B10" s="4">
        <v>0</v>
      </c>
      <c r="C10" s="4">
        <v>16</v>
      </c>
      <c r="D10" s="4">
        <v>4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15">
        <f t="shared" ref="O10:O32" si="0">SUM(B10:N10)</f>
        <v>20</v>
      </c>
    </row>
    <row r="11" spans="1:15" x14ac:dyDescent="0.25">
      <c r="A11" s="3">
        <v>8.3333333333333329E-2</v>
      </c>
      <c r="B11" s="4">
        <v>0</v>
      </c>
      <c r="C11" s="4">
        <v>10</v>
      </c>
      <c r="D11" s="4">
        <v>2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15">
        <f t="shared" si="0"/>
        <v>13</v>
      </c>
    </row>
    <row r="12" spans="1:15" x14ac:dyDescent="0.25">
      <c r="A12" s="3">
        <v>0.125</v>
      </c>
      <c r="B12" s="4">
        <v>0</v>
      </c>
      <c r="C12" s="4">
        <v>10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15">
        <f t="shared" si="0"/>
        <v>10</v>
      </c>
    </row>
    <row r="13" spans="1:15" x14ac:dyDescent="0.25">
      <c r="A13" s="3">
        <v>0.16666666666666699</v>
      </c>
      <c r="B13" s="4">
        <v>0</v>
      </c>
      <c r="C13" s="4">
        <v>8</v>
      </c>
      <c r="D13" s="4">
        <v>2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15">
        <f t="shared" si="0"/>
        <v>10</v>
      </c>
    </row>
    <row r="14" spans="1:15" x14ac:dyDescent="0.25">
      <c r="A14" s="3">
        <v>0.20833333333333301</v>
      </c>
      <c r="B14" s="4">
        <v>0</v>
      </c>
      <c r="C14" s="4">
        <v>35</v>
      </c>
      <c r="D14" s="4">
        <v>5</v>
      </c>
      <c r="E14" s="4">
        <v>0</v>
      </c>
      <c r="F14" s="4">
        <v>1</v>
      </c>
      <c r="G14" s="4">
        <v>1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15">
        <f t="shared" si="0"/>
        <v>42</v>
      </c>
    </row>
    <row r="15" spans="1:15" x14ac:dyDescent="0.25">
      <c r="A15" s="3">
        <v>0.25</v>
      </c>
      <c r="B15" s="4">
        <v>0</v>
      </c>
      <c r="C15" s="4">
        <v>101</v>
      </c>
      <c r="D15" s="4">
        <v>13</v>
      </c>
      <c r="E15" s="4">
        <v>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15">
        <f t="shared" si="0"/>
        <v>115</v>
      </c>
    </row>
    <row r="16" spans="1:15" x14ac:dyDescent="0.25">
      <c r="A16" s="3">
        <v>0.29166666666666702</v>
      </c>
      <c r="B16" s="4">
        <v>3</v>
      </c>
      <c r="C16" s="4">
        <v>263</v>
      </c>
      <c r="D16" s="4">
        <v>21</v>
      </c>
      <c r="E16" s="4">
        <v>0</v>
      </c>
      <c r="F16" s="4">
        <v>4</v>
      </c>
      <c r="G16" s="4">
        <v>0</v>
      </c>
      <c r="H16" s="4">
        <v>0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15">
        <f t="shared" si="0"/>
        <v>292</v>
      </c>
    </row>
    <row r="17" spans="1:15" x14ac:dyDescent="0.25">
      <c r="A17" s="3">
        <v>0.33333333333333298</v>
      </c>
      <c r="B17" s="4">
        <v>0</v>
      </c>
      <c r="C17" s="4">
        <v>304</v>
      </c>
      <c r="D17" s="4">
        <v>31</v>
      </c>
      <c r="E17" s="4">
        <v>0</v>
      </c>
      <c r="F17" s="4">
        <v>4</v>
      </c>
      <c r="G17" s="4">
        <v>1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15">
        <f t="shared" si="0"/>
        <v>341</v>
      </c>
    </row>
    <row r="18" spans="1:15" x14ac:dyDescent="0.25">
      <c r="A18" s="3">
        <v>0.375</v>
      </c>
      <c r="B18" s="4">
        <v>0</v>
      </c>
      <c r="C18" s="4">
        <v>238</v>
      </c>
      <c r="D18" s="4">
        <v>30</v>
      </c>
      <c r="E18" s="4">
        <v>1</v>
      </c>
      <c r="F18" s="4">
        <v>3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15">
        <f t="shared" si="0"/>
        <v>272</v>
      </c>
    </row>
    <row r="19" spans="1:15" x14ac:dyDescent="0.25">
      <c r="A19" s="3">
        <v>0.41666666666666702</v>
      </c>
      <c r="B19" s="4">
        <v>1</v>
      </c>
      <c r="C19" s="4">
        <v>164</v>
      </c>
      <c r="D19" s="4">
        <v>36</v>
      </c>
      <c r="E19" s="4">
        <v>1</v>
      </c>
      <c r="F19" s="4">
        <v>2</v>
      </c>
      <c r="G19" s="4">
        <v>0</v>
      </c>
      <c r="H19" s="4">
        <v>0</v>
      </c>
      <c r="I19" s="4">
        <v>1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15">
        <f t="shared" si="0"/>
        <v>205</v>
      </c>
    </row>
    <row r="20" spans="1:15" x14ac:dyDescent="0.25">
      <c r="A20" s="3">
        <v>0.45833333333333298</v>
      </c>
      <c r="B20" s="4">
        <v>1</v>
      </c>
      <c r="C20" s="4">
        <v>126</v>
      </c>
      <c r="D20" s="4">
        <v>27</v>
      </c>
      <c r="E20" s="4">
        <v>1</v>
      </c>
      <c r="F20" s="4">
        <v>3</v>
      </c>
      <c r="G20" s="4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15">
        <f t="shared" si="0"/>
        <v>159</v>
      </c>
    </row>
    <row r="21" spans="1:15" x14ac:dyDescent="0.25">
      <c r="A21" s="3">
        <v>0.5</v>
      </c>
      <c r="B21" s="4">
        <v>1</v>
      </c>
      <c r="C21" s="4">
        <v>175</v>
      </c>
      <c r="D21" s="4">
        <v>37</v>
      </c>
      <c r="E21" s="4">
        <v>1</v>
      </c>
      <c r="F21" s="4">
        <v>6</v>
      </c>
      <c r="G21" s="4">
        <v>1</v>
      </c>
      <c r="H21" s="4">
        <v>0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15">
        <f t="shared" si="0"/>
        <v>222</v>
      </c>
    </row>
    <row r="22" spans="1:15" x14ac:dyDescent="0.25">
      <c r="A22" s="3">
        <v>0.54166666666666696</v>
      </c>
      <c r="B22" s="4">
        <v>2</v>
      </c>
      <c r="C22" s="4">
        <v>186</v>
      </c>
      <c r="D22" s="4">
        <v>40</v>
      </c>
      <c r="E22" s="4">
        <v>2</v>
      </c>
      <c r="F22" s="4">
        <v>4</v>
      </c>
      <c r="G22" s="4">
        <v>0</v>
      </c>
      <c r="H22" s="4">
        <v>0</v>
      </c>
      <c r="I22" s="4">
        <v>1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15">
        <f t="shared" si="0"/>
        <v>235</v>
      </c>
    </row>
    <row r="23" spans="1:15" x14ac:dyDescent="0.25">
      <c r="A23" s="3">
        <v>0.58333333333333304</v>
      </c>
      <c r="B23" s="4">
        <v>2</v>
      </c>
      <c r="C23" s="4">
        <v>178</v>
      </c>
      <c r="D23" s="4">
        <v>32</v>
      </c>
      <c r="E23" s="4">
        <v>2</v>
      </c>
      <c r="F23" s="4">
        <v>5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15">
        <f t="shared" si="0"/>
        <v>219</v>
      </c>
    </row>
    <row r="24" spans="1:15" x14ac:dyDescent="0.25">
      <c r="A24" s="3">
        <v>0.625</v>
      </c>
      <c r="B24" s="4">
        <v>0</v>
      </c>
      <c r="C24" s="4">
        <v>180</v>
      </c>
      <c r="D24" s="4">
        <v>34</v>
      </c>
      <c r="E24" s="4">
        <v>1</v>
      </c>
      <c r="F24" s="4">
        <v>7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15">
        <f t="shared" si="0"/>
        <v>222</v>
      </c>
    </row>
    <row r="25" spans="1:15" x14ac:dyDescent="0.25">
      <c r="A25" s="3">
        <v>0.66666666666666696</v>
      </c>
      <c r="B25" s="4">
        <v>1</v>
      </c>
      <c r="C25" s="4">
        <v>214</v>
      </c>
      <c r="D25" s="4">
        <v>37</v>
      </c>
      <c r="E25" s="4">
        <v>0</v>
      </c>
      <c r="F25" s="4">
        <v>7</v>
      </c>
      <c r="G25" s="4">
        <v>0</v>
      </c>
      <c r="H25" s="4">
        <v>0</v>
      </c>
      <c r="I25" s="4">
        <v>1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15">
        <f t="shared" si="0"/>
        <v>260</v>
      </c>
    </row>
    <row r="26" spans="1:15" x14ac:dyDescent="0.25">
      <c r="A26" s="3">
        <v>0.70833333333333304</v>
      </c>
      <c r="B26" s="4">
        <v>1</v>
      </c>
      <c r="C26" s="4">
        <v>183</v>
      </c>
      <c r="D26" s="4">
        <v>32</v>
      </c>
      <c r="E26" s="4">
        <v>0</v>
      </c>
      <c r="F26" s="4">
        <v>6</v>
      </c>
      <c r="G26" s="4">
        <v>0</v>
      </c>
      <c r="H26" s="4">
        <v>0</v>
      </c>
      <c r="I26" s="4">
        <v>1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15">
        <f t="shared" si="0"/>
        <v>223</v>
      </c>
    </row>
    <row r="27" spans="1:15" x14ac:dyDescent="0.25">
      <c r="A27" s="3">
        <v>0.75</v>
      </c>
      <c r="B27" s="4">
        <v>1</v>
      </c>
      <c r="C27" s="4">
        <v>207</v>
      </c>
      <c r="D27" s="4">
        <v>28</v>
      </c>
      <c r="E27" s="4">
        <v>0</v>
      </c>
      <c r="F27" s="4">
        <v>4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15">
        <f t="shared" si="0"/>
        <v>240</v>
      </c>
    </row>
    <row r="28" spans="1:15" x14ac:dyDescent="0.25">
      <c r="A28" s="3">
        <v>0.79166666666666696</v>
      </c>
      <c r="B28" s="4">
        <v>2</v>
      </c>
      <c r="C28" s="4">
        <v>193</v>
      </c>
      <c r="D28" s="4">
        <v>23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15">
        <f t="shared" si="0"/>
        <v>219</v>
      </c>
    </row>
    <row r="29" spans="1:15" x14ac:dyDescent="0.25">
      <c r="A29" s="3">
        <v>0.83333333333333304</v>
      </c>
      <c r="B29" s="4">
        <v>1</v>
      </c>
      <c r="C29" s="4">
        <v>153</v>
      </c>
      <c r="D29" s="4">
        <v>16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15">
        <f t="shared" si="0"/>
        <v>170</v>
      </c>
    </row>
    <row r="30" spans="1:15" x14ac:dyDescent="0.25">
      <c r="A30" s="3">
        <v>0.875</v>
      </c>
      <c r="B30" s="4">
        <v>1</v>
      </c>
      <c r="C30" s="4">
        <v>135</v>
      </c>
      <c r="D30" s="4">
        <v>12</v>
      </c>
      <c r="E30" s="4">
        <v>0</v>
      </c>
      <c r="F30" s="4">
        <v>2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15">
        <f t="shared" si="0"/>
        <v>150</v>
      </c>
    </row>
    <row r="31" spans="1:15" x14ac:dyDescent="0.25">
      <c r="A31" s="3">
        <v>0.91666666666666696</v>
      </c>
      <c r="B31" s="4">
        <v>0</v>
      </c>
      <c r="C31" s="4">
        <v>74</v>
      </c>
      <c r="D31" s="4">
        <v>8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15">
        <f t="shared" si="0"/>
        <v>82</v>
      </c>
    </row>
    <row r="32" spans="1:15" x14ac:dyDescent="0.25">
      <c r="A32" s="3">
        <v>0.95833333333333304</v>
      </c>
      <c r="B32" s="4">
        <v>1</v>
      </c>
      <c r="C32" s="4">
        <v>48</v>
      </c>
      <c r="D32" s="4">
        <v>5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15">
        <f t="shared" si="0"/>
        <v>54</v>
      </c>
    </row>
    <row r="33" spans="1:16" x14ac:dyDescent="0.25">
      <c r="A33" s="10"/>
      <c r="B33" s="11"/>
      <c r="C33" s="11"/>
      <c r="D33" s="11"/>
      <c r="E33" s="11"/>
      <c r="F33" s="11"/>
      <c r="G33" s="11"/>
    </row>
    <row r="34" spans="1:16" x14ac:dyDescent="0.25">
      <c r="A34" s="3" t="s">
        <v>6</v>
      </c>
      <c r="B34" s="2">
        <f>SUM(B9:B32)</f>
        <v>18</v>
      </c>
      <c r="C34" s="2">
        <f t="shared" ref="C34:O34" si="1">SUM(C9:C32)</f>
        <v>3233</v>
      </c>
      <c r="D34" s="2">
        <f t="shared" si="1"/>
        <v>482</v>
      </c>
      <c r="E34" s="2">
        <f t="shared" si="1"/>
        <v>10</v>
      </c>
      <c r="F34" s="2">
        <f t="shared" si="1"/>
        <v>60</v>
      </c>
      <c r="G34" s="2">
        <f t="shared" si="1"/>
        <v>4</v>
      </c>
      <c r="H34" s="2">
        <f t="shared" si="1"/>
        <v>0</v>
      </c>
      <c r="I34" s="2">
        <f t="shared" si="1"/>
        <v>6</v>
      </c>
      <c r="J34" s="2">
        <f t="shared" si="1"/>
        <v>1</v>
      </c>
      <c r="K34" s="2">
        <f t="shared" si="1"/>
        <v>0</v>
      </c>
      <c r="L34" s="2">
        <f t="shared" si="1"/>
        <v>0</v>
      </c>
      <c r="M34" s="2">
        <f t="shared" si="1"/>
        <v>0</v>
      </c>
      <c r="N34" s="2">
        <f t="shared" si="1"/>
        <v>0</v>
      </c>
      <c r="O34" s="2">
        <f t="shared" si="1"/>
        <v>3814</v>
      </c>
    </row>
    <row r="35" spans="1:16" x14ac:dyDescent="0.25">
      <c r="A35" s="3" t="s">
        <v>9</v>
      </c>
      <c r="B35" s="16">
        <f>SUM(B34)/$O$34</f>
        <v>4.7194546407970635E-3</v>
      </c>
      <c r="C35" s="16">
        <f t="shared" ref="C35:N35" si="2">SUM(C34)/$O$34</f>
        <v>0.84766649187205034</v>
      </c>
      <c r="D35" s="16">
        <f t="shared" si="2"/>
        <v>0.12637650760356581</v>
      </c>
      <c r="E35" s="16">
        <f t="shared" si="2"/>
        <v>2.6219192448872575E-3</v>
      </c>
      <c r="F35" s="16">
        <f t="shared" si="2"/>
        <v>1.5731515469323543E-2</v>
      </c>
      <c r="G35" s="16">
        <f t="shared" si="2"/>
        <v>1.048767697954903E-3</v>
      </c>
      <c r="H35" s="16">
        <f t="shared" si="2"/>
        <v>0</v>
      </c>
      <c r="I35" s="16">
        <f t="shared" si="2"/>
        <v>1.5731515469323545E-3</v>
      </c>
      <c r="J35" s="16">
        <f t="shared" si="2"/>
        <v>2.6219192448872575E-4</v>
      </c>
      <c r="K35" s="16">
        <f t="shared" si="2"/>
        <v>0</v>
      </c>
      <c r="L35" s="16">
        <f t="shared" si="2"/>
        <v>0</v>
      </c>
      <c r="M35" s="16">
        <f t="shared" si="2"/>
        <v>0</v>
      </c>
      <c r="N35" s="16">
        <f t="shared" si="2"/>
        <v>0</v>
      </c>
      <c r="O35" s="17"/>
    </row>
    <row r="36" spans="1:16" x14ac:dyDescent="0.25">
      <c r="A36" s="10"/>
      <c r="B36" s="11"/>
      <c r="C36" s="11"/>
      <c r="D36" s="11"/>
      <c r="E36" s="11"/>
      <c r="F36" s="11"/>
      <c r="G36" s="11"/>
      <c r="P36" t="s">
        <v>32</v>
      </c>
    </row>
    <row r="37" spans="1:16" x14ac:dyDescent="0.25">
      <c r="A37" s="10"/>
      <c r="B37" s="11"/>
      <c r="C37" s="11"/>
      <c r="D37" s="18"/>
      <c r="E37" s="19"/>
      <c r="F37" s="11"/>
      <c r="G37" s="11"/>
    </row>
    <row r="38" spans="1:16" x14ac:dyDescent="0.25">
      <c r="A38" s="10"/>
      <c r="B38" s="4"/>
      <c r="C38" s="21" t="s">
        <v>28</v>
      </c>
      <c r="D38" s="21">
        <f>SUM(B34)</f>
        <v>18</v>
      </c>
      <c r="E38" s="22">
        <f>(D38)/$O$34</f>
        <v>4.7194546407970635E-3</v>
      </c>
      <c r="F38" s="22"/>
      <c r="G38" s="11"/>
    </row>
    <row r="39" spans="1:16" x14ac:dyDescent="0.25">
      <c r="A39" s="10"/>
      <c r="B39" s="23" t="s">
        <v>29</v>
      </c>
      <c r="C39" s="24"/>
      <c r="D39" s="21">
        <f>SUM(C34:D34)</f>
        <v>3715</v>
      </c>
      <c r="E39" s="22">
        <f t="shared" ref="E39:E40" si="3">SUM(D39)/$O$34</f>
        <v>0.97404299947561612</v>
      </c>
      <c r="F39" s="22"/>
      <c r="G39" s="11"/>
    </row>
    <row r="40" spans="1:16" x14ac:dyDescent="0.25">
      <c r="A40" s="10"/>
      <c r="B40" s="4"/>
      <c r="C40" s="21" t="s">
        <v>30</v>
      </c>
      <c r="D40" s="21">
        <f>SUM(E34:N34)</f>
        <v>81</v>
      </c>
      <c r="E40" s="22">
        <f t="shared" si="3"/>
        <v>2.1237545883586787E-2</v>
      </c>
      <c r="F40" s="22"/>
      <c r="G40" s="11"/>
    </row>
    <row r="41" spans="1:16" x14ac:dyDescent="0.25">
      <c r="A41" s="10"/>
      <c r="B41" s="11"/>
      <c r="C41" s="11"/>
      <c r="D41" s="18"/>
      <c r="E41" s="19"/>
      <c r="F41" s="11"/>
      <c r="G41" s="11"/>
    </row>
    <row r="42" spans="1:16" x14ac:dyDescent="0.25">
      <c r="A42" s="10"/>
      <c r="B42" s="11"/>
      <c r="C42" s="11"/>
      <c r="D42" s="18"/>
      <c r="E42" s="19"/>
      <c r="F42" s="11"/>
      <c r="G42" s="11"/>
    </row>
    <row r="43" spans="1:16" x14ac:dyDescent="0.25">
      <c r="A43" s="10"/>
      <c r="B43" s="11"/>
      <c r="C43" s="11"/>
      <c r="D43" s="18"/>
      <c r="E43" s="19"/>
      <c r="F43" s="11"/>
      <c r="G43" s="11"/>
    </row>
    <row r="44" spans="1:16" x14ac:dyDescent="0.25">
      <c r="A44" s="10"/>
      <c r="B44" s="11"/>
      <c r="C44" s="11"/>
      <c r="D44" s="18"/>
      <c r="E44" s="19"/>
      <c r="F44" s="11"/>
      <c r="G44" s="11"/>
    </row>
    <row r="45" spans="1:16" x14ac:dyDescent="0.25">
      <c r="A45" s="10"/>
      <c r="B45" s="11"/>
      <c r="C45" s="11"/>
      <c r="D45" s="18"/>
      <c r="E45" s="18"/>
      <c r="F45" s="11"/>
      <c r="G45" s="11"/>
    </row>
    <row r="46" spans="1:16" x14ac:dyDescent="0.25">
      <c r="A46" s="10"/>
      <c r="B46" s="11"/>
      <c r="C46" s="11"/>
      <c r="D46" s="18"/>
      <c r="E46" s="20"/>
      <c r="F46" s="11"/>
      <c r="G46" s="11"/>
    </row>
    <row r="47" spans="1:16" x14ac:dyDescent="0.25">
      <c r="A47" s="10"/>
      <c r="B47" s="11"/>
      <c r="C47" s="11"/>
      <c r="D47" s="18"/>
      <c r="E47" s="18"/>
      <c r="F47" s="11"/>
      <c r="G47" s="11"/>
    </row>
    <row r="48" spans="1:16" x14ac:dyDescent="0.25">
      <c r="A48" s="10"/>
      <c r="B48" s="11"/>
      <c r="C48" s="11"/>
      <c r="D48" s="18"/>
      <c r="E48" s="20"/>
      <c r="F48" s="11"/>
      <c r="G48" s="11"/>
    </row>
    <row r="49" spans="1:7" x14ac:dyDescent="0.25">
      <c r="A49" s="10"/>
      <c r="B49" s="11"/>
      <c r="C49" s="11"/>
      <c r="D49" s="18"/>
      <c r="E49" s="18"/>
      <c r="F49" s="11"/>
      <c r="G49" s="11"/>
    </row>
    <row r="50" spans="1:7" x14ac:dyDescent="0.25">
      <c r="A50" s="10"/>
      <c r="B50" s="11"/>
      <c r="C50" s="11"/>
      <c r="D50" s="18"/>
      <c r="E50" s="20"/>
      <c r="F50" s="11"/>
      <c r="G50" s="11"/>
    </row>
    <row r="51" spans="1:7" x14ac:dyDescent="0.25">
      <c r="A51" s="10"/>
      <c r="B51" s="11"/>
      <c r="C51" s="11"/>
      <c r="D51" s="18"/>
      <c r="E51" s="18"/>
      <c r="F51" s="11"/>
      <c r="G51" s="11"/>
    </row>
    <row r="52" spans="1:7" x14ac:dyDescent="0.25">
      <c r="A52" s="10"/>
      <c r="B52" s="11"/>
      <c r="C52" s="11"/>
      <c r="D52" s="18"/>
      <c r="E52" s="20"/>
      <c r="F52" s="11"/>
      <c r="G52" s="11"/>
    </row>
    <row r="53" spans="1:7" x14ac:dyDescent="0.25">
      <c r="A53" s="10"/>
      <c r="B53" s="11"/>
      <c r="C53" s="11"/>
      <c r="D53" s="11"/>
      <c r="E53" s="11"/>
      <c r="F53" s="11"/>
      <c r="G53" s="11"/>
    </row>
    <row r="54" spans="1:7" x14ac:dyDescent="0.25">
      <c r="A54" s="10"/>
      <c r="B54" s="11"/>
      <c r="C54" s="11"/>
      <c r="D54" s="11"/>
      <c r="E54" s="11"/>
      <c r="F54" s="11"/>
      <c r="G54" s="11"/>
    </row>
    <row r="55" spans="1:7" x14ac:dyDescent="0.25">
      <c r="A55" s="10"/>
      <c r="B55" s="11"/>
      <c r="C55" s="11"/>
      <c r="D55" s="11"/>
      <c r="E55" s="11"/>
      <c r="F55" s="11"/>
      <c r="G55" s="11"/>
    </row>
    <row r="56" spans="1:7" x14ac:dyDescent="0.25">
      <c r="A56" s="10"/>
      <c r="B56" s="11"/>
      <c r="C56" s="11"/>
      <c r="D56" s="11"/>
      <c r="E56" s="11"/>
      <c r="F56" s="11"/>
      <c r="G56" s="11"/>
    </row>
    <row r="57" spans="1:7" x14ac:dyDescent="0.25">
      <c r="A57" s="10"/>
      <c r="B57" s="11"/>
      <c r="C57" s="11"/>
      <c r="D57" s="11"/>
      <c r="E57" s="11"/>
      <c r="F57" s="11"/>
      <c r="G57" s="11"/>
    </row>
    <row r="58" spans="1:7" x14ac:dyDescent="0.25">
      <c r="A58" s="10"/>
      <c r="B58" s="11"/>
      <c r="C58" s="11"/>
      <c r="D58" s="11"/>
      <c r="E58" s="11"/>
      <c r="F58" s="11"/>
      <c r="G58" s="11"/>
    </row>
    <row r="59" spans="1:7" x14ac:dyDescent="0.25">
      <c r="A59" s="10"/>
      <c r="B59" s="11"/>
      <c r="C59" s="11"/>
      <c r="D59" s="11"/>
      <c r="E59" s="11"/>
      <c r="F59" s="11"/>
      <c r="G59" s="11"/>
    </row>
    <row r="60" spans="1:7" x14ac:dyDescent="0.25">
      <c r="A60" s="10"/>
      <c r="B60" s="11"/>
      <c r="C60" s="11"/>
      <c r="D60" s="11"/>
      <c r="E60" s="11"/>
      <c r="F60" s="11"/>
      <c r="G60" s="11"/>
    </row>
    <row r="61" spans="1:7" x14ac:dyDescent="0.25">
      <c r="A61" s="10"/>
      <c r="B61" s="11"/>
      <c r="C61" s="11"/>
      <c r="D61" s="11"/>
      <c r="E61" s="11"/>
      <c r="F61" s="11"/>
      <c r="G61" s="11"/>
    </row>
    <row r="62" spans="1:7" x14ac:dyDescent="0.25">
      <c r="A62" s="10"/>
      <c r="B62" s="11"/>
      <c r="C62" s="11"/>
      <c r="D62" s="11"/>
      <c r="E62" s="11"/>
      <c r="F62" s="11"/>
      <c r="G62" s="11"/>
    </row>
    <row r="63" spans="1:7" x14ac:dyDescent="0.25">
      <c r="A63" s="10"/>
      <c r="B63" s="11"/>
      <c r="C63" s="11"/>
      <c r="D63" s="11"/>
      <c r="E63" s="11"/>
      <c r="F63" s="11"/>
      <c r="G63" s="11"/>
    </row>
    <row r="64" spans="1:7" x14ac:dyDescent="0.25">
      <c r="A64" s="10"/>
      <c r="B64" s="11"/>
      <c r="C64" s="11"/>
      <c r="D64" s="11"/>
      <c r="E64" s="11"/>
      <c r="F64" s="11"/>
      <c r="G64" s="11"/>
    </row>
    <row r="65" spans="1:7" x14ac:dyDescent="0.25">
      <c r="A65" s="10"/>
      <c r="B65" s="11"/>
      <c r="C65" s="11"/>
      <c r="D65" s="11"/>
      <c r="E65" s="11"/>
      <c r="F65" s="11"/>
      <c r="G65" s="11"/>
    </row>
    <row r="66" spans="1:7" x14ac:dyDescent="0.25">
      <c r="A66" s="10"/>
      <c r="B66" s="11"/>
      <c r="C66" s="11"/>
      <c r="D66" s="11"/>
      <c r="E66" s="11"/>
      <c r="F66" s="11"/>
      <c r="G66" s="11"/>
    </row>
    <row r="67" spans="1:7" x14ac:dyDescent="0.25">
      <c r="A67" s="10"/>
      <c r="B67" s="11"/>
      <c r="C67" s="11"/>
      <c r="D67" s="11"/>
      <c r="E67" s="11"/>
      <c r="F67" s="11"/>
      <c r="G67" s="11"/>
    </row>
    <row r="68" spans="1:7" x14ac:dyDescent="0.25">
      <c r="A68" s="10"/>
      <c r="B68" s="11"/>
      <c r="C68" s="11"/>
      <c r="D68" s="11"/>
      <c r="E68" s="11"/>
      <c r="F68" s="11"/>
      <c r="G68" s="11"/>
    </row>
    <row r="69" spans="1:7" x14ac:dyDescent="0.25">
      <c r="A69" s="10"/>
      <c r="B69" s="11"/>
      <c r="C69" s="11"/>
      <c r="D69" s="11"/>
      <c r="E69" s="11"/>
      <c r="F69" s="11"/>
      <c r="G69" s="11"/>
    </row>
    <row r="70" spans="1:7" x14ac:dyDescent="0.25">
      <c r="A70" s="10"/>
      <c r="B70" s="11"/>
      <c r="C70" s="11"/>
      <c r="D70" s="11"/>
      <c r="E70" s="11"/>
      <c r="F70" s="11"/>
      <c r="G70" s="11"/>
    </row>
    <row r="71" spans="1:7" x14ac:dyDescent="0.25">
      <c r="A71" s="10"/>
      <c r="B71" s="11"/>
      <c r="C71" s="11"/>
      <c r="D71" s="11"/>
      <c r="E71" s="11"/>
      <c r="F71" s="11"/>
      <c r="G71" s="11"/>
    </row>
    <row r="72" spans="1:7" x14ac:dyDescent="0.25">
      <c r="A72" s="10"/>
      <c r="B72" s="11"/>
      <c r="C72" s="11"/>
      <c r="D72" s="11"/>
      <c r="E72" s="11"/>
      <c r="F72" s="11"/>
      <c r="G72" s="11"/>
    </row>
    <row r="73" spans="1:7" x14ac:dyDescent="0.25">
      <c r="A73" s="10"/>
      <c r="B73" s="11"/>
      <c r="C73" s="11"/>
      <c r="D73" s="11"/>
      <c r="E73" s="11"/>
      <c r="F73" s="11"/>
      <c r="G73" s="11"/>
    </row>
    <row r="74" spans="1:7" x14ac:dyDescent="0.25">
      <c r="A74" s="10"/>
      <c r="B74" s="11"/>
      <c r="C74" s="11"/>
      <c r="D74" s="11"/>
      <c r="E74" s="11"/>
      <c r="F74" s="11"/>
      <c r="G74" s="11"/>
    </row>
    <row r="75" spans="1:7" x14ac:dyDescent="0.25">
      <c r="A75" s="10"/>
      <c r="B75" s="11"/>
      <c r="C75" s="11"/>
      <c r="D75" s="11"/>
      <c r="E75" s="11"/>
      <c r="F75" s="11"/>
      <c r="G75" s="11"/>
    </row>
    <row r="76" spans="1:7" x14ac:dyDescent="0.25">
      <c r="A76" s="10"/>
      <c r="B76" s="11"/>
      <c r="C76" s="11"/>
      <c r="D76" s="11"/>
      <c r="E76" s="11"/>
      <c r="F76" s="11"/>
      <c r="G76" s="11"/>
    </row>
    <row r="77" spans="1:7" x14ac:dyDescent="0.25">
      <c r="A77" s="10"/>
      <c r="B77" s="11"/>
      <c r="C77" s="11"/>
      <c r="D77" s="11"/>
      <c r="E77" s="11"/>
      <c r="F77" s="11"/>
      <c r="G77" s="11"/>
    </row>
    <row r="78" spans="1:7" x14ac:dyDescent="0.25">
      <c r="A78" s="10"/>
      <c r="B78" s="11"/>
      <c r="C78" s="11"/>
      <c r="D78" s="11"/>
      <c r="E78" s="11"/>
      <c r="F78" s="11"/>
      <c r="G78" s="11"/>
    </row>
    <row r="79" spans="1:7" x14ac:dyDescent="0.25">
      <c r="A79" s="10"/>
      <c r="B79" s="11"/>
      <c r="C79" s="11"/>
      <c r="D79" s="11"/>
      <c r="E79" s="11"/>
      <c r="F79" s="11"/>
      <c r="G79" s="11"/>
    </row>
    <row r="80" spans="1:7" x14ac:dyDescent="0.25">
      <c r="A80" s="10"/>
      <c r="B80" s="11"/>
      <c r="C80" s="11"/>
      <c r="D80" s="11"/>
      <c r="E80" s="11"/>
      <c r="F80" s="11"/>
      <c r="G80" s="11"/>
    </row>
    <row r="81" spans="1:7" x14ac:dyDescent="0.25">
      <c r="A81" s="10"/>
      <c r="B81" s="11"/>
      <c r="C81" s="11"/>
      <c r="D81" s="11"/>
      <c r="E81" s="11"/>
      <c r="F81" s="11"/>
      <c r="G81" s="11"/>
    </row>
    <row r="82" spans="1:7" x14ac:dyDescent="0.25">
      <c r="A82" s="10"/>
      <c r="B82" s="11"/>
      <c r="C82" s="11"/>
      <c r="D82" s="11"/>
      <c r="E82" s="11"/>
      <c r="F82" s="11"/>
      <c r="G82" s="11"/>
    </row>
    <row r="83" spans="1:7" x14ac:dyDescent="0.25">
      <c r="A83" s="10"/>
      <c r="B83" s="11"/>
      <c r="C83" s="11"/>
      <c r="D83" s="11"/>
      <c r="E83" s="11"/>
      <c r="F83" s="11"/>
      <c r="G83" s="11"/>
    </row>
    <row r="84" spans="1:7" x14ac:dyDescent="0.25">
      <c r="A84" s="10"/>
      <c r="B84" s="11"/>
      <c r="C84" s="11"/>
      <c r="D84" s="11"/>
      <c r="E84" s="11"/>
      <c r="F84" s="11"/>
      <c r="G84" s="11"/>
    </row>
    <row r="85" spans="1:7" x14ac:dyDescent="0.25">
      <c r="A85" s="10"/>
      <c r="B85" s="11"/>
      <c r="C85" s="11"/>
      <c r="D85" s="11"/>
      <c r="E85" s="11"/>
      <c r="F85" s="11"/>
      <c r="G85" s="11"/>
    </row>
    <row r="86" spans="1:7" x14ac:dyDescent="0.25">
      <c r="A86" s="10"/>
      <c r="B86" s="11"/>
      <c r="C86" s="11"/>
      <c r="D86" s="11"/>
      <c r="E86" s="11"/>
      <c r="F86" s="11"/>
      <c r="G86" s="11"/>
    </row>
    <row r="87" spans="1:7" x14ac:dyDescent="0.25">
      <c r="A87" s="10"/>
      <c r="B87" s="11"/>
      <c r="C87" s="11"/>
      <c r="D87" s="11"/>
      <c r="E87" s="11"/>
      <c r="F87" s="11"/>
      <c r="G87" s="11"/>
    </row>
    <row r="88" spans="1:7" x14ac:dyDescent="0.25">
      <c r="A88" s="10"/>
      <c r="B88" s="11"/>
      <c r="C88" s="11"/>
      <c r="D88" s="11"/>
      <c r="E88" s="11"/>
      <c r="F88" s="11"/>
      <c r="G88" s="11"/>
    </row>
    <row r="89" spans="1:7" x14ac:dyDescent="0.25">
      <c r="A89" s="10"/>
      <c r="B89" s="11"/>
      <c r="C89" s="11"/>
      <c r="D89" s="11"/>
      <c r="E89" s="11"/>
      <c r="F89" s="11"/>
      <c r="G89" s="11"/>
    </row>
    <row r="90" spans="1:7" x14ac:dyDescent="0.25">
      <c r="A90" s="10"/>
      <c r="B90" s="11"/>
      <c r="C90" s="11"/>
      <c r="D90" s="11"/>
      <c r="E90" s="11"/>
      <c r="F90" s="11"/>
      <c r="G90" s="11"/>
    </row>
    <row r="91" spans="1:7" x14ac:dyDescent="0.25">
      <c r="A91" s="10"/>
      <c r="B91" s="11"/>
      <c r="C91" s="11"/>
      <c r="D91" s="11"/>
      <c r="E91" s="11"/>
      <c r="F91" s="11"/>
      <c r="G91" s="11"/>
    </row>
    <row r="92" spans="1:7" x14ac:dyDescent="0.25">
      <c r="A92" s="10"/>
      <c r="B92" s="11"/>
      <c r="C92" s="11"/>
      <c r="D92" s="11"/>
      <c r="E92" s="11"/>
      <c r="F92" s="11"/>
      <c r="G92" s="11"/>
    </row>
    <row r="93" spans="1:7" x14ac:dyDescent="0.25">
      <c r="A93" s="10"/>
      <c r="B93" s="11"/>
      <c r="C93" s="11"/>
      <c r="D93" s="11"/>
      <c r="E93" s="11"/>
      <c r="F93" s="11"/>
      <c r="G93" s="11"/>
    </row>
    <row r="94" spans="1:7" x14ac:dyDescent="0.25">
      <c r="A94" s="10"/>
      <c r="B94" s="11"/>
      <c r="C94" s="11"/>
      <c r="D94" s="11"/>
      <c r="E94" s="11"/>
      <c r="F94" s="11"/>
      <c r="G94" s="11"/>
    </row>
    <row r="95" spans="1:7" x14ac:dyDescent="0.25">
      <c r="A95" s="10"/>
      <c r="B95" s="11"/>
      <c r="C95" s="11"/>
      <c r="D95" s="11"/>
      <c r="E95" s="11"/>
      <c r="F95" s="11"/>
      <c r="G95" s="11"/>
    </row>
    <row r="96" spans="1:7" x14ac:dyDescent="0.25">
      <c r="A96" s="10"/>
      <c r="B96" s="11"/>
      <c r="C96" s="11"/>
      <c r="D96" s="11"/>
      <c r="E96" s="11"/>
      <c r="F96" s="11"/>
      <c r="G96" s="11"/>
    </row>
    <row r="97" spans="1:7" x14ac:dyDescent="0.25">
      <c r="A97" s="10"/>
      <c r="B97" s="11"/>
      <c r="C97" s="11"/>
      <c r="D97" s="11"/>
      <c r="E97" s="11"/>
      <c r="F97" s="11"/>
      <c r="G97" s="11"/>
    </row>
    <row r="98" spans="1:7" x14ac:dyDescent="0.25">
      <c r="A98" s="10"/>
      <c r="B98" s="11"/>
      <c r="C98" s="11"/>
      <c r="D98" s="11"/>
      <c r="E98" s="11"/>
      <c r="F98" s="11"/>
      <c r="G98" s="11"/>
    </row>
    <row r="99" spans="1:7" x14ac:dyDescent="0.25">
      <c r="A99" s="10"/>
      <c r="B99" s="11"/>
      <c r="C99" s="11"/>
      <c r="D99" s="11"/>
      <c r="E99" s="11"/>
      <c r="F99" s="11"/>
      <c r="G99" s="11"/>
    </row>
    <row r="100" spans="1:7" x14ac:dyDescent="0.25">
      <c r="A100" s="10"/>
      <c r="B100" s="11"/>
      <c r="C100" s="11"/>
      <c r="D100" s="11"/>
      <c r="E100" s="11"/>
      <c r="F100" s="11"/>
      <c r="G100" s="11"/>
    </row>
    <row r="101" spans="1:7" x14ac:dyDescent="0.25">
      <c r="A101" s="10"/>
      <c r="B101" s="11"/>
      <c r="C101" s="11"/>
      <c r="D101" s="11"/>
      <c r="E101" s="11"/>
      <c r="F101" s="11"/>
      <c r="G101" s="11"/>
    </row>
    <row r="102" spans="1:7" x14ac:dyDescent="0.25">
      <c r="A102" s="10"/>
      <c r="B102" s="11"/>
      <c r="C102" s="11"/>
      <c r="D102" s="11"/>
      <c r="E102" s="11"/>
      <c r="F102" s="11"/>
      <c r="G102" s="11"/>
    </row>
    <row r="103" spans="1:7" x14ac:dyDescent="0.25">
      <c r="A103" s="10"/>
      <c r="B103" s="11"/>
      <c r="C103" s="11"/>
      <c r="D103" s="11"/>
      <c r="E103" s="11"/>
      <c r="F103" s="11"/>
      <c r="G103" s="11"/>
    </row>
    <row r="104" spans="1:7" x14ac:dyDescent="0.25">
      <c r="A104" s="10"/>
      <c r="B104" s="11"/>
      <c r="C104" s="11"/>
      <c r="D104" s="11"/>
      <c r="E104" s="11"/>
      <c r="F104" s="11"/>
      <c r="G104" s="11"/>
    </row>
    <row r="105" spans="1:7" x14ac:dyDescent="0.25">
      <c r="A105" s="11"/>
      <c r="B105" s="12"/>
      <c r="C105" s="12"/>
      <c r="D105" s="11"/>
      <c r="E105" s="12"/>
      <c r="F105" s="12"/>
      <c r="G105" s="12"/>
    </row>
    <row r="106" spans="1:7" x14ac:dyDescent="0.25">
      <c r="A106" s="13"/>
      <c r="B106" s="13"/>
      <c r="C106" s="13"/>
      <c r="D106" s="13"/>
      <c r="E106" s="13"/>
      <c r="F106" s="13"/>
      <c r="G106" s="12"/>
    </row>
    <row r="107" spans="1:7" x14ac:dyDescent="0.25">
      <c r="A107" s="13"/>
      <c r="B107" s="11"/>
      <c r="C107" s="11"/>
      <c r="D107" s="11"/>
      <c r="E107" s="11"/>
      <c r="F107" s="11"/>
      <c r="G107" s="12"/>
    </row>
  </sheetData>
  <mergeCells count="5">
    <mergeCell ref="E38:F38"/>
    <mergeCell ref="E39:F39"/>
    <mergeCell ref="E40:F40"/>
    <mergeCell ref="B39:C39"/>
    <mergeCell ref="E7:E8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"/>
  <sheetViews>
    <sheetView workbookViewId="0">
      <selection activeCell="Q31" sqref="Q31"/>
    </sheetView>
  </sheetViews>
  <sheetFormatPr defaultRowHeight="15" x14ac:dyDescent="0.25"/>
  <cols>
    <col min="1" max="1" width="15.28515625" style="1" customWidth="1"/>
    <col min="3" max="3" width="9.7109375" bestFit="1" customWidth="1"/>
    <col min="4" max="4" width="9.140625" style="1"/>
    <col min="5" max="5" width="9.140625" customWidth="1"/>
  </cols>
  <sheetData>
    <row r="1" spans="1:15" x14ac:dyDescent="0.25">
      <c r="B1" s="5" t="s">
        <v>0</v>
      </c>
      <c r="C1" s="6" t="s">
        <v>2</v>
      </c>
    </row>
    <row r="2" spans="1:15" x14ac:dyDescent="0.25">
      <c r="B2" s="5" t="s">
        <v>1</v>
      </c>
      <c r="C2" s="7">
        <v>41507</v>
      </c>
    </row>
    <row r="3" spans="1:15" x14ac:dyDescent="0.25">
      <c r="B3" s="5" t="s">
        <v>7</v>
      </c>
      <c r="C3" s="6" t="s">
        <v>3</v>
      </c>
    </row>
    <row r="4" spans="1:15" x14ac:dyDescent="0.25">
      <c r="B4" s="5"/>
      <c r="C4" s="6"/>
    </row>
    <row r="5" spans="1:15" x14ac:dyDescent="0.25">
      <c r="A5" s="8" t="s">
        <v>10</v>
      </c>
    </row>
    <row r="6" spans="1:15" x14ac:dyDescent="0.25">
      <c r="A6" s="8" t="s">
        <v>5</v>
      </c>
    </row>
    <row r="7" spans="1:15" x14ac:dyDescent="0.25">
      <c r="A7" s="9"/>
      <c r="B7" s="14" t="s">
        <v>11</v>
      </c>
      <c r="C7" s="14" t="s">
        <v>13</v>
      </c>
      <c r="D7" s="14" t="s">
        <v>15</v>
      </c>
      <c r="E7" s="25" t="s">
        <v>17</v>
      </c>
      <c r="F7" s="14" t="s">
        <v>15</v>
      </c>
      <c r="G7" s="14" t="s">
        <v>19</v>
      </c>
      <c r="H7" s="14" t="s">
        <v>21</v>
      </c>
      <c r="I7" s="14" t="s">
        <v>22</v>
      </c>
      <c r="J7" s="14" t="s">
        <v>24</v>
      </c>
      <c r="K7" s="14" t="s">
        <v>25</v>
      </c>
      <c r="L7" s="14" t="s">
        <v>25</v>
      </c>
      <c r="M7" s="14" t="s">
        <v>27</v>
      </c>
      <c r="N7" s="14" t="s">
        <v>25</v>
      </c>
      <c r="O7" s="14"/>
    </row>
    <row r="8" spans="1:15" s="1" customFormat="1" x14ac:dyDescent="0.25">
      <c r="A8" s="13" t="s">
        <v>8</v>
      </c>
      <c r="B8" s="15" t="s">
        <v>12</v>
      </c>
      <c r="C8" s="15" t="s">
        <v>14</v>
      </c>
      <c r="D8" s="15" t="s">
        <v>16</v>
      </c>
      <c r="E8" s="26"/>
      <c r="F8" s="15" t="s">
        <v>18</v>
      </c>
      <c r="G8" s="15" t="s">
        <v>20</v>
      </c>
      <c r="H8" s="15" t="s">
        <v>20</v>
      </c>
      <c r="I8" s="15" t="s">
        <v>23</v>
      </c>
      <c r="J8" s="15" t="s">
        <v>23</v>
      </c>
      <c r="K8" s="15" t="s">
        <v>23</v>
      </c>
      <c r="L8" s="15" t="s">
        <v>26</v>
      </c>
      <c r="M8" s="15" t="s">
        <v>26</v>
      </c>
      <c r="N8" s="15" t="s">
        <v>26</v>
      </c>
      <c r="O8" s="15" t="s">
        <v>6</v>
      </c>
    </row>
    <row r="9" spans="1:15" x14ac:dyDescent="0.25">
      <c r="A9" s="3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15">
        <f>SUM(B9:N9)</f>
        <v>0</v>
      </c>
    </row>
    <row r="10" spans="1:15" x14ac:dyDescent="0.25">
      <c r="A10" s="3">
        <v>4.1666666666666664E-2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15">
        <f t="shared" ref="O10:O32" si="0">SUM(B10:N10)</f>
        <v>0</v>
      </c>
    </row>
    <row r="11" spans="1:15" x14ac:dyDescent="0.25">
      <c r="A11" s="3">
        <v>8.3333333333333329E-2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15">
        <f t="shared" si="0"/>
        <v>0</v>
      </c>
    </row>
    <row r="12" spans="1:15" x14ac:dyDescent="0.25">
      <c r="A12" s="3">
        <v>0.125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15">
        <f t="shared" si="0"/>
        <v>0</v>
      </c>
    </row>
    <row r="13" spans="1:15" x14ac:dyDescent="0.25">
      <c r="A13" s="3">
        <v>0.16666666666666699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15">
        <f t="shared" si="0"/>
        <v>0</v>
      </c>
    </row>
    <row r="14" spans="1:15" x14ac:dyDescent="0.25">
      <c r="A14" s="3">
        <v>0.20833333333333301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15">
        <f t="shared" si="0"/>
        <v>0</v>
      </c>
    </row>
    <row r="15" spans="1:15" x14ac:dyDescent="0.25">
      <c r="A15" s="3">
        <v>0.25</v>
      </c>
      <c r="B15" s="4">
        <v>0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15">
        <f t="shared" si="0"/>
        <v>1</v>
      </c>
    </row>
    <row r="16" spans="1:15" x14ac:dyDescent="0.25">
      <c r="A16" s="3">
        <v>0.29166666666666702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15">
        <f t="shared" si="0"/>
        <v>0</v>
      </c>
    </row>
    <row r="17" spans="1:17" x14ac:dyDescent="0.25">
      <c r="A17" s="3">
        <v>0.33333333333333298</v>
      </c>
      <c r="B17" s="4">
        <v>0</v>
      </c>
      <c r="C17" s="4">
        <v>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15">
        <f t="shared" si="0"/>
        <v>3</v>
      </c>
    </row>
    <row r="18" spans="1:17" x14ac:dyDescent="0.25">
      <c r="A18" s="3">
        <v>0.375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15">
        <f t="shared" si="0"/>
        <v>0</v>
      </c>
    </row>
    <row r="19" spans="1:17" x14ac:dyDescent="0.25">
      <c r="A19" s="3">
        <v>0.41666666666666702</v>
      </c>
      <c r="B19" s="4">
        <v>0</v>
      </c>
      <c r="C19" s="4">
        <v>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15">
        <f t="shared" si="0"/>
        <v>1</v>
      </c>
    </row>
    <row r="20" spans="1:17" x14ac:dyDescent="0.25">
      <c r="A20" s="3">
        <v>0.45833333333333298</v>
      </c>
      <c r="B20" s="4">
        <v>0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15">
        <f t="shared" si="0"/>
        <v>1</v>
      </c>
    </row>
    <row r="21" spans="1:17" x14ac:dyDescent="0.25">
      <c r="A21" s="3">
        <v>0.5</v>
      </c>
      <c r="B21" s="4">
        <v>0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15">
        <f t="shared" si="0"/>
        <v>1</v>
      </c>
    </row>
    <row r="22" spans="1:17" x14ac:dyDescent="0.25">
      <c r="A22" s="3">
        <v>0.54166666666666696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15">
        <f t="shared" si="0"/>
        <v>0</v>
      </c>
    </row>
    <row r="23" spans="1:17" x14ac:dyDescent="0.25">
      <c r="A23" s="3">
        <v>0.58333333333333304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15">
        <f t="shared" si="0"/>
        <v>0</v>
      </c>
    </row>
    <row r="24" spans="1:17" x14ac:dyDescent="0.25">
      <c r="A24" s="3">
        <v>0.625</v>
      </c>
      <c r="B24" s="4">
        <v>0</v>
      </c>
      <c r="C24" s="4">
        <v>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15">
        <f t="shared" si="0"/>
        <v>3</v>
      </c>
    </row>
    <row r="25" spans="1:17" x14ac:dyDescent="0.25">
      <c r="A25" s="3">
        <v>0.66666666666666696</v>
      </c>
      <c r="B25" s="4">
        <v>0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15">
        <f t="shared" si="0"/>
        <v>2</v>
      </c>
    </row>
    <row r="26" spans="1:17" x14ac:dyDescent="0.25">
      <c r="A26" s="3">
        <v>0.70833333333333304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15">
        <f t="shared" si="0"/>
        <v>0</v>
      </c>
    </row>
    <row r="27" spans="1:17" x14ac:dyDescent="0.25">
      <c r="A27" s="3">
        <v>0.75</v>
      </c>
      <c r="B27" s="4">
        <v>0</v>
      </c>
      <c r="C27" s="4">
        <v>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15">
        <f t="shared" si="0"/>
        <v>2</v>
      </c>
    </row>
    <row r="28" spans="1:17" x14ac:dyDescent="0.25">
      <c r="A28" s="3">
        <v>0.79166666666666696</v>
      </c>
      <c r="B28" s="4">
        <v>0</v>
      </c>
      <c r="C28" s="4">
        <v>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15">
        <f t="shared" si="0"/>
        <v>3</v>
      </c>
    </row>
    <row r="29" spans="1:17" x14ac:dyDescent="0.25">
      <c r="A29" s="3">
        <v>0.83333333333333304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15">
        <f t="shared" si="0"/>
        <v>0</v>
      </c>
    </row>
    <row r="30" spans="1:17" x14ac:dyDescent="0.25">
      <c r="A30" s="3">
        <v>0.875</v>
      </c>
      <c r="B30" s="4">
        <v>0</v>
      </c>
      <c r="C30" s="4">
        <v>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15">
        <f t="shared" si="0"/>
        <v>1</v>
      </c>
    </row>
    <row r="31" spans="1:17" x14ac:dyDescent="0.25">
      <c r="A31" s="3">
        <v>0.91666666666666696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15">
        <f t="shared" si="0"/>
        <v>0</v>
      </c>
      <c r="Q31" t="s">
        <v>32</v>
      </c>
    </row>
    <row r="32" spans="1:17" x14ac:dyDescent="0.25">
      <c r="A32" s="3">
        <v>0.95833333333333304</v>
      </c>
      <c r="B32" s="4">
        <v>0</v>
      </c>
      <c r="C32" s="4">
        <v>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15">
        <f t="shared" si="0"/>
        <v>1</v>
      </c>
    </row>
    <row r="33" spans="1:15" x14ac:dyDescent="0.25">
      <c r="A33" s="10"/>
      <c r="B33" s="11"/>
      <c r="C33" s="11"/>
      <c r="D33" s="11"/>
      <c r="E33" s="11"/>
      <c r="F33" s="11"/>
      <c r="G33" s="11"/>
    </row>
    <row r="34" spans="1:15" x14ac:dyDescent="0.25">
      <c r="A34" s="3" t="s">
        <v>6</v>
      </c>
      <c r="B34" s="2">
        <f>SUM(B9:B32)</f>
        <v>0</v>
      </c>
      <c r="C34" s="2">
        <f t="shared" ref="C34:O34" si="1">SUM(C9:C32)</f>
        <v>19</v>
      </c>
      <c r="D34" s="2">
        <f t="shared" si="1"/>
        <v>0</v>
      </c>
      <c r="E34" s="2">
        <f t="shared" si="1"/>
        <v>0</v>
      </c>
      <c r="F34" s="2">
        <f t="shared" si="1"/>
        <v>0</v>
      </c>
      <c r="G34" s="2">
        <f t="shared" si="1"/>
        <v>0</v>
      </c>
      <c r="H34" s="2">
        <f t="shared" si="1"/>
        <v>0</v>
      </c>
      <c r="I34" s="2">
        <f t="shared" si="1"/>
        <v>0</v>
      </c>
      <c r="J34" s="2">
        <f t="shared" si="1"/>
        <v>0</v>
      </c>
      <c r="K34" s="2">
        <f t="shared" si="1"/>
        <v>0</v>
      </c>
      <c r="L34" s="2">
        <f t="shared" si="1"/>
        <v>0</v>
      </c>
      <c r="M34" s="2">
        <f t="shared" si="1"/>
        <v>0</v>
      </c>
      <c r="N34" s="2">
        <f t="shared" si="1"/>
        <v>0</v>
      </c>
      <c r="O34" s="2">
        <f t="shared" si="1"/>
        <v>19</v>
      </c>
    </row>
    <row r="35" spans="1:15" x14ac:dyDescent="0.25">
      <c r="A35" s="3" t="s">
        <v>9</v>
      </c>
      <c r="B35" s="16">
        <f>SUM(B34)/$O$34</f>
        <v>0</v>
      </c>
      <c r="C35" s="16">
        <f t="shared" ref="C35:N35" si="2">SUM(C34)/$O$34</f>
        <v>1</v>
      </c>
      <c r="D35" s="16">
        <f t="shared" si="2"/>
        <v>0</v>
      </c>
      <c r="E35" s="16">
        <f t="shared" si="2"/>
        <v>0</v>
      </c>
      <c r="F35" s="16">
        <f t="shared" si="2"/>
        <v>0</v>
      </c>
      <c r="G35" s="16">
        <f t="shared" si="2"/>
        <v>0</v>
      </c>
      <c r="H35" s="16">
        <f t="shared" si="2"/>
        <v>0</v>
      </c>
      <c r="I35" s="16">
        <f t="shared" si="2"/>
        <v>0</v>
      </c>
      <c r="J35" s="16">
        <f t="shared" si="2"/>
        <v>0</v>
      </c>
      <c r="K35" s="16">
        <f t="shared" si="2"/>
        <v>0</v>
      </c>
      <c r="L35" s="16">
        <f t="shared" si="2"/>
        <v>0</v>
      </c>
      <c r="M35" s="16">
        <f t="shared" si="2"/>
        <v>0</v>
      </c>
      <c r="N35" s="16">
        <f t="shared" si="2"/>
        <v>0</v>
      </c>
      <c r="O35" s="17"/>
    </row>
    <row r="36" spans="1:15" x14ac:dyDescent="0.25">
      <c r="A36" s="10"/>
      <c r="B36" s="11"/>
      <c r="C36" s="11"/>
      <c r="D36" s="11"/>
      <c r="E36" s="11"/>
      <c r="F36" s="11"/>
      <c r="G36" s="11"/>
    </row>
    <row r="37" spans="1:15" x14ac:dyDescent="0.25">
      <c r="A37" s="10"/>
      <c r="B37" s="11"/>
      <c r="C37" s="11"/>
      <c r="D37" s="18"/>
      <c r="E37" s="19"/>
      <c r="F37" s="11"/>
      <c r="G37" s="11"/>
    </row>
    <row r="38" spans="1:15" x14ac:dyDescent="0.25">
      <c r="A38" s="10"/>
      <c r="B38" s="4"/>
      <c r="C38" s="21" t="s">
        <v>28</v>
      </c>
      <c r="D38" s="21">
        <f>SUM(B34)</f>
        <v>0</v>
      </c>
      <c r="E38" s="22">
        <f>(D38)/$O$34</f>
        <v>0</v>
      </c>
      <c r="F38" s="22"/>
      <c r="G38" s="11"/>
    </row>
    <row r="39" spans="1:15" x14ac:dyDescent="0.25">
      <c r="A39" s="10"/>
      <c r="B39" s="23" t="s">
        <v>29</v>
      </c>
      <c r="C39" s="24"/>
      <c r="D39" s="21">
        <f>SUM(C34:D34)</f>
        <v>19</v>
      </c>
      <c r="E39" s="22">
        <f t="shared" ref="E39:E40" si="3">SUM(D39)/$O$34</f>
        <v>1</v>
      </c>
      <c r="F39" s="22"/>
      <c r="G39" s="11"/>
    </row>
    <row r="40" spans="1:15" x14ac:dyDescent="0.25">
      <c r="A40" s="10"/>
      <c r="B40" s="4"/>
      <c r="C40" s="21" t="s">
        <v>30</v>
      </c>
      <c r="D40" s="21">
        <f>SUM(E34:N34)</f>
        <v>0</v>
      </c>
      <c r="E40" s="22">
        <f t="shared" si="3"/>
        <v>0</v>
      </c>
      <c r="F40" s="22"/>
      <c r="G40" s="11"/>
    </row>
    <row r="41" spans="1:15" x14ac:dyDescent="0.25">
      <c r="A41" s="10"/>
      <c r="B41" s="11"/>
      <c r="C41" s="11"/>
      <c r="D41" s="18"/>
      <c r="E41" s="19"/>
      <c r="F41" s="11"/>
      <c r="G41" s="11"/>
    </row>
    <row r="42" spans="1:15" x14ac:dyDescent="0.25">
      <c r="A42" s="10"/>
      <c r="B42" s="11"/>
      <c r="C42" s="11"/>
      <c r="D42" s="18"/>
      <c r="E42" s="19"/>
      <c r="F42" s="11"/>
      <c r="G42" s="11"/>
    </row>
    <row r="43" spans="1:15" x14ac:dyDescent="0.25">
      <c r="A43" s="10"/>
      <c r="B43" s="11"/>
      <c r="C43" s="11"/>
      <c r="D43" s="18"/>
      <c r="E43" s="19"/>
      <c r="F43" s="11"/>
      <c r="G43" s="11"/>
    </row>
    <row r="44" spans="1:15" x14ac:dyDescent="0.25">
      <c r="A44" s="10"/>
      <c r="B44" s="11"/>
      <c r="C44" s="11"/>
      <c r="D44" s="18"/>
      <c r="E44" s="19"/>
      <c r="F44" s="11"/>
      <c r="G44" s="11"/>
    </row>
    <row r="45" spans="1:15" x14ac:dyDescent="0.25">
      <c r="A45" s="10"/>
      <c r="B45" s="11"/>
      <c r="C45" s="11"/>
      <c r="D45" s="18"/>
      <c r="E45" s="18"/>
      <c r="F45" s="11"/>
      <c r="G45" s="11"/>
    </row>
    <row r="46" spans="1:15" x14ac:dyDescent="0.25">
      <c r="A46" s="10"/>
      <c r="B46" s="11"/>
      <c r="C46" s="11"/>
      <c r="D46" s="18"/>
      <c r="E46" s="20"/>
      <c r="F46" s="11"/>
      <c r="G46" s="11"/>
    </row>
    <row r="47" spans="1:15" x14ac:dyDescent="0.25">
      <c r="A47" s="10"/>
      <c r="B47" s="11"/>
      <c r="C47" s="11"/>
      <c r="D47" s="18"/>
      <c r="E47" s="18"/>
      <c r="F47" s="11"/>
      <c r="G47" s="11"/>
    </row>
    <row r="48" spans="1:15" x14ac:dyDescent="0.25">
      <c r="A48" s="10"/>
      <c r="B48" s="11"/>
      <c r="C48" s="11"/>
      <c r="D48" s="18"/>
      <c r="E48" s="20"/>
      <c r="F48" s="11"/>
      <c r="G48" s="11"/>
    </row>
    <row r="49" spans="1:7" x14ac:dyDescent="0.25">
      <c r="A49" s="10"/>
      <c r="B49" s="11"/>
      <c r="C49" s="11"/>
      <c r="D49" s="18"/>
      <c r="E49" s="18"/>
      <c r="F49" s="11"/>
      <c r="G49" s="11"/>
    </row>
    <row r="50" spans="1:7" x14ac:dyDescent="0.25">
      <c r="A50" s="10"/>
      <c r="B50" s="11"/>
      <c r="C50" s="11"/>
      <c r="D50" s="18"/>
      <c r="E50" s="20"/>
      <c r="F50" s="11"/>
      <c r="G50" s="11"/>
    </row>
    <row r="51" spans="1:7" x14ac:dyDescent="0.25">
      <c r="A51" s="10"/>
      <c r="B51" s="11"/>
      <c r="C51" s="11"/>
      <c r="D51" s="18"/>
      <c r="E51" s="18"/>
      <c r="F51" s="11"/>
      <c r="G51" s="11"/>
    </row>
    <row r="52" spans="1:7" x14ac:dyDescent="0.25">
      <c r="A52" s="10"/>
      <c r="B52" s="11"/>
      <c r="C52" s="11"/>
      <c r="D52" s="18"/>
      <c r="E52" s="20"/>
      <c r="F52" s="11"/>
      <c r="G52" s="11"/>
    </row>
    <row r="53" spans="1:7" x14ac:dyDescent="0.25">
      <c r="A53" s="10"/>
      <c r="B53" s="11"/>
      <c r="C53" s="11"/>
      <c r="D53" s="11"/>
      <c r="E53" s="11"/>
      <c r="F53" s="11"/>
      <c r="G53" s="11"/>
    </row>
    <row r="54" spans="1:7" x14ac:dyDescent="0.25">
      <c r="A54" s="10"/>
      <c r="B54" s="11"/>
      <c r="C54" s="11"/>
      <c r="D54" s="11"/>
      <c r="E54" s="11"/>
      <c r="F54" s="11"/>
      <c r="G54" s="11"/>
    </row>
    <row r="55" spans="1:7" x14ac:dyDescent="0.25">
      <c r="A55" s="10"/>
      <c r="B55" s="11"/>
      <c r="C55" s="11"/>
      <c r="D55" s="11"/>
      <c r="E55" s="11"/>
      <c r="F55" s="11"/>
      <c r="G55" s="11"/>
    </row>
    <row r="56" spans="1:7" x14ac:dyDescent="0.25">
      <c r="A56" s="10"/>
      <c r="B56" s="11"/>
      <c r="C56" s="11"/>
      <c r="D56" s="11"/>
      <c r="E56" s="11"/>
      <c r="F56" s="11"/>
      <c r="G56" s="11"/>
    </row>
    <row r="57" spans="1:7" x14ac:dyDescent="0.25">
      <c r="A57" s="10"/>
      <c r="B57" s="11"/>
      <c r="C57" s="11"/>
      <c r="D57" s="11"/>
      <c r="E57" s="11"/>
      <c r="F57" s="11"/>
      <c r="G57" s="11"/>
    </row>
    <row r="58" spans="1:7" x14ac:dyDescent="0.25">
      <c r="A58" s="10"/>
      <c r="B58" s="11"/>
      <c r="C58" s="11"/>
      <c r="D58" s="11"/>
      <c r="E58" s="11"/>
      <c r="F58" s="11"/>
      <c r="G58" s="11"/>
    </row>
    <row r="59" spans="1:7" x14ac:dyDescent="0.25">
      <c r="A59" s="10"/>
      <c r="B59" s="11"/>
      <c r="C59" s="11"/>
      <c r="D59" s="11"/>
      <c r="E59" s="11"/>
      <c r="F59" s="11"/>
      <c r="G59" s="11"/>
    </row>
    <row r="60" spans="1:7" x14ac:dyDescent="0.25">
      <c r="A60" s="10"/>
      <c r="B60" s="11"/>
      <c r="C60" s="11"/>
      <c r="D60" s="11"/>
      <c r="E60" s="11"/>
      <c r="F60" s="11"/>
      <c r="G60" s="11"/>
    </row>
    <row r="61" spans="1:7" x14ac:dyDescent="0.25">
      <c r="A61" s="10"/>
      <c r="B61" s="11"/>
      <c r="C61" s="11"/>
      <c r="D61" s="11"/>
      <c r="E61" s="11"/>
      <c r="F61" s="11"/>
      <c r="G61" s="11"/>
    </row>
    <row r="62" spans="1:7" x14ac:dyDescent="0.25">
      <c r="A62" s="10"/>
      <c r="B62" s="11"/>
      <c r="C62" s="11"/>
      <c r="D62" s="11"/>
      <c r="E62" s="11"/>
      <c r="F62" s="11"/>
      <c r="G62" s="11"/>
    </row>
    <row r="63" spans="1:7" x14ac:dyDescent="0.25">
      <c r="A63" s="10"/>
      <c r="B63" s="11"/>
      <c r="C63" s="11"/>
      <c r="D63" s="11"/>
      <c r="E63" s="11"/>
      <c r="F63" s="11"/>
      <c r="G63" s="11"/>
    </row>
    <row r="64" spans="1:7" x14ac:dyDescent="0.25">
      <c r="A64" s="10"/>
      <c r="B64" s="11"/>
      <c r="C64" s="11"/>
      <c r="D64" s="11"/>
      <c r="E64" s="11"/>
      <c r="F64" s="11"/>
      <c r="G64" s="11"/>
    </row>
    <row r="65" spans="1:7" x14ac:dyDescent="0.25">
      <c r="A65" s="10"/>
      <c r="B65" s="11"/>
      <c r="C65" s="11"/>
      <c r="D65" s="11"/>
      <c r="E65" s="11"/>
      <c r="F65" s="11"/>
      <c r="G65" s="11"/>
    </row>
    <row r="66" spans="1:7" x14ac:dyDescent="0.25">
      <c r="A66" s="10"/>
      <c r="B66" s="11"/>
      <c r="C66" s="11"/>
      <c r="D66" s="11"/>
      <c r="E66" s="11"/>
      <c r="F66" s="11"/>
      <c r="G66" s="11"/>
    </row>
    <row r="67" spans="1:7" x14ac:dyDescent="0.25">
      <c r="A67" s="10"/>
      <c r="B67" s="11"/>
      <c r="C67" s="11"/>
      <c r="D67" s="11"/>
      <c r="E67" s="11"/>
      <c r="F67" s="11"/>
      <c r="G67" s="11"/>
    </row>
    <row r="68" spans="1:7" x14ac:dyDescent="0.25">
      <c r="A68" s="10"/>
      <c r="B68" s="11"/>
      <c r="C68" s="11"/>
      <c r="D68" s="11"/>
      <c r="E68" s="11"/>
      <c r="F68" s="11"/>
      <c r="G68" s="11"/>
    </row>
    <row r="69" spans="1:7" x14ac:dyDescent="0.25">
      <c r="A69" s="10"/>
      <c r="B69" s="11"/>
      <c r="C69" s="11"/>
      <c r="D69" s="11"/>
      <c r="E69" s="11"/>
      <c r="F69" s="11"/>
      <c r="G69" s="11"/>
    </row>
    <row r="70" spans="1:7" x14ac:dyDescent="0.25">
      <c r="A70" s="10"/>
      <c r="B70" s="11"/>
      <c r="C70" s="11"/>
      <c r="D70" s="11"/>
      <c r="E70" s="11"/>
      <c r="F70" s="11"/>
      <c r="G70" s="11"/>
    </row>
    <row r="71" spans="1:7" x14ac:dyDescent="0.25">
      <c r="A71" s="10"/>
      <c r="B71" s="11"/>
      <c r="C71" s="11"/>
      <c r="D71" s="11"/>
      <c r="E71" s="11"/>
      <c r="F71" s="11"/>
      <c r="G71" s="11"/>
    </row>
    <row r="72" spans="1:7" x14ac:dyDescent="0.25">
      <c r="A72" s="10"/>
      <c r="B72" s="11"/>
      <c r="C72" s="11"/>
      <c r="D72" s="11"/>
      <c r="E72" s="11"/>
      <c r="F72" s="11"/>
      <c r="G72" s="11"/>
    </row>
    <row r="73" spans="1:7" x14ac:dyDescent="0.25">
      <c r="A73" s="10"/>
      <c r="B73" s="11"/>
      <c r="C73" s="11"/>
      <c r="D73" s="11"/>
      <c r="E73" s="11"/>
      <c r="F73" s="11"/>
      <c r="G73" s="11"/>
    </row>
    <row r="74" spans="1:7" x14ac:dyDescent="0.25">
      <c r="A74" s="10"/>
      <c r="B74" s="11"/>
      <c r="C74" s="11"/>
      <c r="D74" s="11"/>
      <c r="E74" s="11"/>
      <c r="F74" s="11"/>
      <c r="G74" s="11"/>
    </row>
    <row r="75" spans="1:7" x14ac:dyDescent="0.25">
      <c r="A75" s="10"/>
      <c r="B75" s="11"/>
      <c r="C75" s="11"/>
      <c r="D75" s="11"/>
      <c r="E75" s="11"/>
      <c r="F75" s="11"/>
      <c r="G75" s="11"/>
    </row>
    <row r="76" spans="1:7" x14ac:dyDescent="0.25">
      <c r="A76" s="10"/>
      <c r="B76" s="11"/>
      <c r="C76" s="11"/>
      <c r="D76" s="11"/>
      <c r="E76" s="11"/>
      <c r="F76" s="11"/>
      <c r="G76" s="11"/>
    </row>
    <row r="77" spans="1:7" x14ac:dyDescent="0.25">
      <c r="A77" s="10"/>
      <c r="B77" s="11"/>
      <c r="C77" s="11"/>
      <c r="D77" s="11"/>
      <c r="E77" s="11"/>
      <c r="F77" s="11"/>
      <c r="G77" s="11"/>
    </row>
    <row r="78" spans="1:7" x14ac:dyDescent="0.25">
      <c r="A78" s="10"/>
      <c r="B78" s="11"/>
      <c r="C78" s="11"/>
      <c r="D78" s="11"/>
      <c r="E78" s="11"/>
      <c r="F78" s="11"/>
      <c r="G78" s="11"/>
    </row>
    <row r="79" spans="1:7" x14ac:dyDescent="0.25">
      <c r="A79" s="10"/>
      <c r="B79" s="11"/>
      <c r="C79" s="11"/>
      <c r="D79" s="11"/>
      <c r="E79" s="11"/>
      <c r="F79" s="11"/>
      <c r="G79" s="11"/>
    </row>
    <row r="80" spans="1:7" x14ac:dyDescent="0.25">
      <c r="A80" s="10"/>
      <c r="B80" s="11"/>
      <c r="C80" s="11"/>
      <c r="D80" s="11"/>
      <c r="E80" s="11"/>
      <c r="F80" s="11"/>
      <c r="G80" s="11"/>
    </row>
    <row r="81" spans="1:7" x14ac:dyDescent="0.25">
      <c r="A81" s="10"/>
      <c r="B81" s="11"/>
      <c r="C81" s="11"/>
      <c r="D81" s="11"/>
      <c r="E81" s="11"/>
      <c r="F81" s="11"/>
      <c r="G81" s="11"/>
    </row>
    <row r="82" spans="1:7" x14ac:dyDescent="0.25">
      <c r="A82" s="10"/>
      <c r="B82" s="11"/>
      <c r="C82" s="11"/>
      <c r="D82" s="11"/>
      <c r="E82" s="11"/>
      <c r="F82" s="11"/>
      <c r="G82" s="11"/>
    </row>
    <row r="83" spans="1:7" x14ac:dyDescent="0.25">
      <c r="A83" s="10"/>
      <c r="B83" s="11"/>
      <c r="C83" s="11"/>
      <c r="D83" s="11"/>
      <c r="E83" s="11"/>
      <c r="F83" s="11"/>
      <c r="G83" s="11"/>
    </row>
    <row r="84" spans="1:7" x14ac:dyDescent="0.25">
      <c r="A84" s="10"/>
      <c r="B84" s="11"/>
      <c r="C84" s="11"/>
      <c r="D84" s="11"/>
      <c r="E84" s="11"/>
      <c r="F84" s="11"/>
      <c r="G84" s="11"/>
    </row>
    <row r="85" spans="1:7" x14ac:dyDescent="0.25">
      <c r="A85" s="10"/>
      <c r="B85" s="11"/>
      <c r="C85" s="11"/>
      <c r="D85" s="11"/>
      <c r="E85" s="11"/>
      <c r="F85" s="11"/>
      <c r="G85" s="11"/>
    </row>
    <row r="86" spans="1:7" x14ac:dyDescent="0.25">
      <c r="A86" s="10"/>
      <c r="B86" s="11"/>
      <c r="C86" s="11"/>
      <c r="D86" s="11"/>
      <c r="E86" s="11"/>
      <c r="F86" s="11"/>
      <c r="G86" s="11"/>
    </row>
    <row r="87" spans="1:7" x14ac:dyDescent="0.25">
      <c r="A87" s="10"/>
      <c r="B87" s="11"/>
      <c r="C87" s="11"/>
      <c r="D87" s="11"/>
      <c r="E87" s="11"/>
      <c r="F87" s="11"/>
      <c r="G87" s="11"/>
    </row>
    <row r="88" spans="1:7" x14ac:dyDescent="0.25">
      <c r="A88" s="10"/>
      <c r="B88" s="11"/>
      <c r="C88" s="11"/>
      <c r="D88" s="11"/>
      <c r="E88" s="11"/>
      <c r="F88" s="11"/>
      <c r="G88" s="11"/>
    </row>
    <row r="89" spans="1:7" x14ac:dyDescent="0.25">
      <c r="A89" s="10"/>
      <c r="B89" s="11"/>
      <c r="C89" s="11"/>
      <c r="D89" s="11"/>
      <c r="E89" s="11"/>
      <c r="F89" s="11"/>
      <c r="G89" s="11"/>
    </row>
    <row r="90" spans="1:7" x14ac:dyDescent="0.25">
      <c r="A90" s="10"/>
      <c r="B90" s="11"/>
      <c r="C90" s="11"/>
      <c r="D90" s="11"/>
      <c r="E90" s="11"/>
      <c r="F90" s="11"/>
      <c r="G90" s="11"/>
    </row>
    <row r="91" spans="1:7" x14ac:dyDescent="0.25">
      <c r="A91" s="10"/>
      <c r="B91" s="11"/>
      <c r="C91" s="11"/>
      <c r="D91" s="11"/>
      <c r="E91" s="11"/>
      <c r="F91" s="11"/>
      <c r="G91" s="11"/>
    </row>
    <row r="92" spans="1:7" x14ac:dyDescent="0.25">
      <c r="A92" s="10"/>
      <c r="B92" s="11"/>
      <c r="C92" s="11"/>
      <c r="D92" s="11"/>
      <c r="E92" s="11"/>
      <c r="F92" s="11"/>
      <c r="G92" s="11"/>
    </row>
    <row r="93" spans="1:7" x14ac:dyDescent="0.25">
      <c r="A93" s="10"/>
      <c r="B93" s="11"/>
      <c r="C93" s="11"/>
      <c r="D93" s="11"/>
      <c r="E93" s="11"/>
      <c r="F93" s="11"/>
      <c r="G93" s="11"/>
    </row>
    <row r="94" spans="1:7" x14ac:dyDescent="0.25">
      <c r="A94" s="10"/>
      <c r="B94" s="11"/>
      <c r="C94" s="11"/>
      <c r="D94" s="11"/>
      <c r="E94" s="11"/>
      <c r="F94" s="11"/>
      <c r="G94" s="11"/>
    </row>
    <row r="95" spans="1:7" x14ac:dyDescent="0.25">
      <c r="A95" s="10"/>
      <c r="B95" s="11"/>
      <c r="C95" s="11"/>
      <c r="D95" s="11"/>
      <c r="E95" s="11"/>
      <c r="F95" s="11"/>
      <c r="G95" s="11"/>
    </row>
    <row r="96" spans="1:7" x14ac:dyDescent="0.25">
      <c r="A96" s="10"/>
      <c r="B96" s="11"/>
      <c r="C96" s="11"/>
      <c r="D96" s="11"/>
      <c r="E96" s="11"/>
      <c r="F96" s="11"/>
      <c r="G96" s="11"/>
    </row>
    <row r="97" spans="1:7" x14ac:dyDescent="0.25">
      <c r="A97" s="10"/>
      <c r="B97" s="11"/>
      <c r="C97" s="11"/>
      <c r="D97" s="11"/>
      <c r="E97" s="11"/>
      <c r="F97" s="11"/>
      <c r="G97" s="11"/>
    </row>
    <row r="98" spans="1:7" x14ac:dyDescent="0.25">
      <c r="A98" s="10"/>
      <c r="B98" s="11"/>
      <c r="C98" s="11"/>
      <c r="D98" s="11"/>
      <c r="E98" s="11"/>
      <c r="F98" s="11"/>
      <c r="G98" s="11"/>
    </row>
    <row r="99" spans="1:7" x14ac:dyDescent="0.25">
      <c r="A99" s="10"/>
      <c r="B99" s="11"/>
      <c r="C99" s="11"/>
      <c r="D99" s="11"/>
      <c r="E99" s="11"/>
      <c r="F99" s="11"/>
      <c r="G99" s="11"/>
    </row>
    <row r="100" spans="1:7" x14ac:dyDescent="0.25">
      <c r="A100" s="10"/>
      <c r="B100" s="11"/>
      <c r="C100" s="11"/>
      <c r="D100" s="11"/>
      <c r="E100" s="11"/>
      <c r="F100" s="11"/>
      <c r="G100" s="11"/>
    </row>
    <row r="101" spans="1:7" x14ac:dyDescent="0.25">
      <c r="A101" s="10"/>
      <c r="B101" s="11"/>
      <c r="C101" s="11"/>
      <c r="D101" s="11"/>
      <c r="E101" s="11"/>
      <c r="F101" s="11"/>
      <c r="G101" s="11"/>
    </row>
    <row r="102" spans="1:7" x14ac:dyDescent="0.25">
      <c r="A102" s="10"/>
      <c r="B102" s="11"/>
      <c r="C102" s="11"/>
      <c r="D102" s="11"/>
      <c r="E102" s="11"/>
      <c r="F102" s="11"/>
      <c r="G102" s="11"/>
    </row>
    <row r="103" spans="1:7" x14ac:dyDescent="0.25">
      <c r="A103" s="10"/>
      <c r="B103" s="11"/>
      <c r="C103" s="11"/>
      <c r="D103" s="11"/>
      <c r="E103" s="11"/>
      <c r="F103" s="11"/>
      <c r="G103" s="11"/>
    </row>
    <row r="104" spans="1:7" x14ac:dyDescent="0.25">
      <c r="A104" s="10"/>
      <c r="B104" s="11"/>
      <c r="C104" s="11"/>
      <c r="D104" s="11"/>
      <c r="E104" s="11"/>
      <c r="F104" s="11"/>
      <c r="G104" s="11"/>
    </row>
    <row r="105" spans="1:7" x14ac:dyDescent="0.25">
      <c r="A105" s="11"/>
      <c r="B105" s="12"/>
      <c r="C105" s="12"/>
      <c r="D105" s="11"/>
      <c r="E105" s="12"/>
      <c r="F105" s="12"/>
      <c r="G105" s="12"/>
    </row>
    <row r="106" spans="1:7" x14ac:dyDescent="0.25">
      <c r="A106" s="13"/>
      <c r="B106" s="13"/>
      <c r="C106" s="13"/>
      <c r="D106" s="13"/>
      <c r="E106" s="13"/>
      <c r="F106" s="13"/>
      <c r="G106" s="12"/>
    </row>
    <row r="107" spans="1:7" x14ac:dyDescent="0.25">
      <c r="A107" s="13"/>
      <c r="B107" s="11"/>
      <c r="C107" s="11"/>
      <c r="D107" s="11"/>
      <c r="E107" s="11"/>
      <c r="F107" s="11"/>
      <c r="G107" s="12"/>
    </row>
  </sheetData>
  <mergeCells count="5">
    <mergeCell ref="E7:E8"/>
    <mergeCell ref="E38:F38"/>
    <mergeCell ref="B39:C39"/>
    <mergeCell ref="E39:F39"/>
    <mergeCell ref="E40:F40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workbookViewId="0">
      <selection activeCell="S33" sqref="S33"/>
    </sheetView>
  </sheetViews>
  <sheetFormatPr defaultRowHeight="15" x14ac:dyDescent="0.25"/>
  <cols>
    <col min="1" max="1" width="15.28515625" style="1" customWidth="1"/>
    <col min="3" max="3" width="9.7109375" bestFit="1" customWidth="1"/>
    <col min="4" max="4" width="9.140625" style="1"/>
    <col min="5" max="5" width="9.140625" customWidth="1"/>
  </cols>
  <sheetData>
    <row r="1" spans="1:15" x14ac:dyDescent="0.25">
      <c r="B1" s="5" t="s">
        <v>0</v>
      </c>
      <c r="C1" s="6" t="s">
        <v>2</v>
      </c>
    </row>
    <row r="2" spans="1:15" x14ac:dyDescent="0.25">
      <c r="B2" s="5" t="s">
        <v>1</v>
      </c>
      <c r="C2" s="7">
        <v>41507</v>
      </c>
    </row>
    <row r="3" spans="1:15" x14ac:dyDescent="0.25">
      <c r="B3" s="5" t="s">
        <v>7</v>
      </c>
      <c r="C3" s="6" t="s">
        <v>3</v>
      </c>
    </row>
    <row r="4" spans="1:15" x14ac:dyDescent="0.25">
      <c r="B4" s="5"/>
      <c r="C4" s="6"/>
    </row>
    <row r="5" spans="1:15" x14ac:dyDescent="0.25">
      <c r="A5" s="8" t="s">
        <v>10</v>
      </c>
    </row>
    <row r="6" spans="1:15" x14ac:dyDescent="0.25">
      <c r="A6" s="8" t="s">
        <v>31</v>
      </c>
    </row>
    <row r="7" spans="1:15" x14ac:dyDescent="0.25">
      <c r="A7" s="9"/>
      <c r="B7" s="14" t="s">
        <v>11</v>
      </c>
      <c r="C7" s="14" t="s">
        <v>13</v>
      </c>
      <c r="D7" s="14" t="s">
        <v>15</v>
      </c>
      <c r="E7" s="25" t="s">
        <v>17</v>
      </c>
      <c r="F7" s="14" t="s">
        <v>15</v>
      </c>
      <c r="G7" s="14" t="s">
        <v>19</v>
      </c>
      <c r="H7" s="14" t="s">
        <v>21</v>
      </c>
      <c r="I7" s="14" t="s">
        <v>22</v>
      </c>
      <c r="J7" s="14" t="s">
        <v>24</v>
      </c>
      <c r="K7" s="14" t="s">
        <v>25</v>
      </c>
      <c r="L7" s="14" t="s">
        <v>25</v>
      </c>
      <c r="M7" s="14" t="s">
        <v>27</v>
      </c>
      <c r="N7" s="14" t="s">
        <v>25</v>
      </c>
      <c r="O7" s="14"/>
    </row>
    <row r="8" spans="1:15" s="1" customFormat="1" x14ac:dyDescent="0.25">
      <c r="A8" s="13" t="s">
        <v>8</v>
      </c>
      <c r="B8" s="15" t="s">
        <v>12</v>
      </c>
      <c r="C8" s="15" t="s">
        <v>14</v>
      </c>
      <c r="D8" s="15" t="s">
        <v>16</v>
      </c>
      <c r="E8" s="26"/>
      <c r="F8" s="15" t="s">
        <v>18</v>
      </c>
      <c r="G8" s="15" t="s">
        <v>20</v>
      </c>
      <c r="H8" s="15" t="s">
        <v>20</v>
      </c>
      <c r="I8" s="15" t="s">
        <v>23</v>
      </c>
      <c r="J8" s="15" t="s">
        <v>23</v>
      </c>
      <c r="K8" s="15" t="s">
        <v>23</v>
      </c>
      <c r="L8" s="15" t="s">
        <v>26</v>
      </c>
      <c r="M8" s="15" t="s">
        <v>26</v>
      </c>
      <c r="N8" s="15" t="s">
        <v>26</v>
      </c>
      <c r="O8" s="15" t="s">
        <v>6</v>
      </c>
    </row>
    <row r="9" spans="1:15" x14ac:dyDescent="0.25">
      <c r="A9" s="3">
        <v>0</v>
      </c>
      <c r="B9" s="4">
        <f>SUM('Classification-1'!B9+'Classification-2'!B9)</f>
        <v>0</v>
      </c>
      <c r="C9" s="4">
        <f>SUM('Classification-1'!C9+'Classification-2'!C9)</f>
        <v>32</v>
      </c>
      <c r="D9" s="4">
        <f>SUM('Classification-1'!D9+'Classification-2'!D9)</f>
        <v>7</v>
      </c>
      <c r="E9" s="4">
        <f>SUM('Classification-1'!E9+'Classification-2'!E9)</f>
        <v>0</v>
      </c>
      <c r="F9" s="4">
        <f>SUM('Classification-1'!F9+'Classification-2'!F9)</f>
        <v>0</v>
      </c>
      <c r="G9" s="4">
        <f>SUM('Classification-1'!G9+'Classification-2'!G9)</f>
        <v>0</v>
      </c>
      <c r="H9" s="4">
        <f>SUM('Classification-1'!H9+'Classification-2'!H9)</f>
        <v>0</v>
      </c>
      <c r="I9" s="4">
        <f>SUM('Classification-1'!I9+'Classification-2'!I9)</f>
        <v>0</v>
      </c>
      <c r="J9" s="4">
        <f>SUM('Classification-1'!J9+'Classification-2'!J9)</f>
        <v>0</v>
      </c>
      <c r="K9" s="4">
        <f>SUM('Classification-1'!K9+'Classification-2'!K9)</f>
        <v>0</v>
      </c>
      <c r="L9" s="4">
        <f>SUM('Classification-1'!L9+'Classification-2'!L9)</f>
        <v>0</v>
      </c>
      <c r="M9" s="4">
        <f>SUM('Classification-1'!M9+'Classification-2'!M9)</f>
        <v>0</v>
      </c>
      <c r="N9" s="4">
        <f>SUM('Classification-1'!N9+'Classification-2'!N9)</f>
        <v>0</v>
      </c>
      <c r="O9" s="15">
        <f>SUM(B9:N9)</f>
        <v>39</v>
      </c>
    </row>
    <row r="10" spans="1:15" x14ac:dyDescent="0.25">
      <c r="A10" s="3">
        <v>4.1666666666666664E-2</v>
      </c>
      <c r="B10" s="4">
        <f>SUM('Classification-1'!B10+'Classification-2'!B10)</f>
        <v>0</v>
      </c>
      <c r="C10" s="4">
        <f>SUM('Classification-1'!C10+'Classification-2'!C10)</f>
        <v>16</v>
      </c>
      <c r="D10" s="4">
        <f>SUM('Classification-1'!D10+'Classification-2'!D10)</f>
        <v>4</v>
      </c>
      <c r="E10" s="4">
        <f>SUM('Classification-1'!E10+'Classification-2'!E10)</f>
        <v>0</v>
      </c>
      <c r="F10" s="4">
        <f>SUM('Classification-1'!F10+'Classification-2'!F10)</f>
        <v>0</v>
      </c>
      <c r="G10" s="4">
        <f>SUM('Classification-1'!G10+'Classification-2'!G10)</f>
        <v>0</v>
      </c>
      <c r="H10" s="4">
        <f>SUM('Classification-1'!H10+'Classification-2'!H10)</f>
        <v>0</v>
      </c>
      <c r="I10" s="4">
        <f>SUM('Classification-1'!I10+'Classification-2'!I10)</f>
        <v>0</v>
      </c>
      <c r="J10" s="4">
        <f>SUM('Classification-1'!J10+'Classification-2'!J10)</f>
        <v>0</v>
      </c>
      <c r="K10" s="4">
        <f>SUM('Classification-1'!K10+'Classification-2'!K10)</f>
        <v>0</v>
      </c>
      <c r="L10" s="4">
        <f>SUM('Classification-1'!L10+'Classification-2'!L10)</f>
        <v>0</v>
      </c>
      <c r="M10" s="4">
        <f>SUM('Classification-1'!M10+'Classification-2'!M10)</f>
        <v>0</v>
      </c>
      <c r="N10" s="4">
        <f>SUM('Classification-1'!N10+'Classification-2'!N10)</f>
        <v>0</v>
      </c>
      <c r="O10" s="15">
        <f t="shared" ref="O10:O32" si="0">SUM(B10:N10)</f>
        <v>20</v>
      </c>
    </row>
    <row r="11" spans="1:15" x14ac:dyDescent="0.25">
      <c r="A11" s="3">
        <v>8.3333333333333329E-2</v>
      </c>
      <c r="B11" s="4">
        <f>SUM('Classification-1'!B11+'Classification-2'!B11)</f>
        <v>0</v>
      </c>
      <c r="C11" s="4">
        <f>SUM('Classification-1'!C11+'Classification-2'!C11)</f>
        <v>10</v>
      </c>
      <c r="D11" s="4">
        <f>SUM('Classification-1'!D11+'Classification-2'!D11)</f>
        <v>2</v>
      </c>
      <c r="E11" s="4">
        <f>SUM('Classification-1'!E11+'Classification-2'!E11)</f>
        <v>0</v>
      </c>
      <c r="F11" s="4">
        <f>SUM('Classification-1'!F11+'Classification-2'!F11)</f>
        <v>1</v>
      </c>
      <c r="G11" s="4">
        <f>SUM('Classification-1'!G11+'Classification-2'!G11)</f>
        <v>0</v>
      </c>
      <c r="H11" s="4">
        <f>SUM('Classification-1'!H11+'Classification-2'!H11)</f>
        <v>0</v>
      </c>
      <c r="I11" s="4">
        <f>SUM('Classification-1'!I11+'Classification-2'!I11)</f>
        <v>0</v>
      </c>
      <c r="J11" s="4">
        <f>SUM('Classification-1'!J11+'Classification-2'!J11)</f>
        <v>0</v>
      </c>
      <c r="K11" s="4">
        <f>SUM('Classification-1'!K11+'Classification-2'!K11)</f>
        <v>0</v>
      </c>
      <c r="L11" s="4">
        <f>SUM('Classification-1'!L11+'Classification-2'!L11)</f>
        <v>0</v>
      </c>
      <c r="M11" s="4">
        <f>SUM('Classification-1'!M11+'Classification-2'!M11)</f>
        <v>0</v>
      </c>
      <c r="N11" s="4">
        <f>SUM('Classification-1'!N11+'Classification-2'!N11)</f>
        <v>0</v>
      </c>
      <c r="O11" s="15">
        <f t="shared" si="0"/>
        <v>13</v>
      </c>
    </row>
    <row r="12" spans="1:15" x14ac:dyDescent="0.25">
      <c r="A12" s="3">
        <v>0.125</v>
      </c>
      <c r="B12" s="4">
        <f>SUM('Classification-1'!B12+'Classification-2'!B12)</f>
        <v>0</v>
      </c>
      <c r="C12" s="4">
        <f>SUM('Classification-1'!C12+'Classification-2'!C12)</f>
        <v>10</v>
      </c>
      <c r="D12" s="4">
        <f>SUM('Classification-1'!D12+'Classification-2'!D12)</f>
        <v>0</v>
      </c>
      <c r="E12" s="4">
        <f>SUM('Classification-1'!E12+'Classification-2'!E12)</f>
        <v>0</v>
      </c>
      <c r="F12" s="4">
        <f>SUM('Classification-1'!F12+'Classification-2'!F12)</f>
        <v>0</v>
      </c>
      <c r="G12" s="4">
        <f>SUM('Classification-1'!G12+'Classification-2'!G12)</f>
        <v>0</v>
      </c>
      <c r="H12" s="4">
        <f>SUM('Classification-1'!H12+'Classification-2'!H12)</f>
        <v>0</v>
      </c>
      <c r="I12" s="4">
        <f>SUM('Classification-1'!I12+'Classification-2'!I12)</f>
        <v>0</v>
      </c>
      <c r="J12" s="4">
        <f>SUM('Classification-1'!J12+'Classification-2'!J12)</f>
        <v>0</v>
      </c>
      <c r="K12" s="4">
        <f>SUM('Classification-1'!K12+'Classification-2'!K12)</f>
        <v>0</v>
      </c>
      <c r="L12" s="4">
        <f>SUM('Classification-1'!L12+'Classification-2'!L12)</f>
        <v>0</v>
      </c>
      <c r="M12" s="4">
        <f>SUM('Classification-1'!M12+'Classification-2'!M12)</f>
        <v>0</v>
      </c>
      <c r="N12" s="4">
        <f>SUM('Classification-1'!N12+'Classification-2'!N12)</f>
        <v>0</v>
      </c>
      <c r="O12" s="15">
        <f t="shared" si="0"/>
        <v>10</v>
      </c>
    </row>
    <row r="13" spans="1:15" x14ac:dyDescent="0.25">
      <c r="A13" s="3">
        <v>0.16666666666666699</v>
      </c>
      <c r="B13" s="4">
        <f>SUM('Classification-1'!B13+'Classification-2'!B13)</f>
        <v>0</v>
      </c>
      <c r="C13" s="4">
        <f>SUM('Classification-1'!C13+'Classification-2'!C13)</f>
        <v>8</v>
      </c>
      <c r="D13" s="4">
        <f>SUM('Classification-1'!D13+'Classification-2'!D13)</f>
        <v>2</v>
      </c>
      <c r="E13" s="4">
        <f>SUM('Classification-1'!E13+'Classification-2'!E13)</f>
        <v>0</v>
      </c>
      <c r="F13" s="4">
        <f>SUM('Classification-1'!F13+'Classification-2'!F13)</f>
        <v>0</v>
      </c>
      <c r="G13" s="4">
        <f>SUM('Classification-1'!G13+'Classification-2'!G13)</f>
        <v>0</v>
      </c>
      <c r="H13" s="4">
        <f>SUM('Classification-1'!H13+'Classification-2'!H13)</f>
        <v>0</v>
      </c>
      <c r="I13" s="4">
        <f>SUM('Classification-1'!I13+'Classification-2'!I13)</f>
        <v>0</v>
      </c>
      <c r="J13" s="4">
        <f>SUM('Classification-1'!J13+'Classification-2'!J13)</f>
        <v>0</v>
      </c>
      <c r="K13" s="4">
        <f>SUM('Classification-1'!K13+'Classification-2'!K13)</f>
        <v>0</v>
      </c>
      <c r="L13" s="4">
        <f>SUM('Classification-1'!L13+'Classification-2'!L13)</f>
        <v>0</v>
      </c>
      <c r="M13" s="4">
        <f>SUM('Classification-1'!M13+'Classification-2'!M13)</f>
        <v>0</v>
      </c>
      <c r="N13" s="4">
        <f>SUM('Classification-1'!N13+'Classification-2'!N13)</f>
        <v>0</v>
      </c>
      <c r="O13" s="15">
        <f t="shared" si="0"/>
        <v>10</v>
      </c>
    </row>
    <row r="14" spans="1:15" x14ac:dyDescent="0.25">
      <c r="A14" s="3">
        <v>0.20833333333333301</v>
      </c>
      <c r="B14" s="4">
        <f>SUM('Classification-1'!B14+'Classification-2'!B14)</f>
        <v>0</v>
      </c>
      <c r="C14" s="4">
        <f>SUM('Classification-1'!C14+'Classification-2'!C14)</f>
        <v>35</v>
      </c>
      <c r="D14" s="4">
        <f>SUM('Classification-1'!D14+'Classification-2'!D14)</f>
        <v>5</v>
      </c>
      <c r="E14" s="4">
        <f>SUM('Classification-1'!E14+'Classification-2'!E14)</f>
        <v>0</v>
      </c>
      <c r="F14" s="4">
        <f>SUM('Classification-1'!F14+'Classification-2'!F14)</f>
        <v>1</v>
      </c>
      <c r="G14" s="4">
        <f>SUM('Classification-1'!G14+'Classification-2'!G14)</f>
        <v>1</v>
      </c>
      <c r="H14" s="4">
        <f>SUM('Classification-1'!H14+'Classification-2'!H14)</f>
        <v>0</v>
      </c>
      <c r="I14" s="4">
        <f>SUM('Classification-1'!I14+'Classification-2'!I14)</f>
        <v>0</v>
      </c>
      <c r="J14" s="4">
        <f>SUM('Classification-1'!J14+'Classification-2'!J14)</f>
        <v>0</v>
      </c>
      <c r="K14" s="4">
        <f>SUM('Classification-1'!K14+'Classification-2'!K14)</f>
        <v>0</v>
      </c>
      <c r="L14" s="4">
        <f>SUM('Classification-1'!L14+'Classification-2'!L14)</f>
        <v>0</v>
      </c>
      <c r="M14" s="4">
        <f>SUM('Classification-1'!M14+'Classification-2'!M14)</f>
        <v>0</v>
      </c>
      <c r="N14" s="4">
        <f>SUM('Classification-1'!N14+'Classification-2'!N14)</f>
        <v>0</v>
      </c>
      <c r="O14" s="15">
        <f t="shared" si="0"/>
        <v>42</v>
      </c>
    </row>
    <row r="15" spans="1:15" x14ac:dyDescent="0.25">
      <c r="A15" s="3">
        <v>0.25</v>
      </c>
      <c r="B15" s="4">
        <f>SUM('Classification-1'!B15+'Classification-2'!B15)</f>
        <v>0</v>
      </c>
      <c r="C15" s="4">
        <f>SUM('Classification-1'!C15+'Classification-2'!C15)</f>
        <v>102</v>
      </c>
      <c r="D15" s="4">
        <f>SUM('Classification-1'!D15+'Classification-2'!D15)</f>
        <v>13</v>
      </c>
      <c r="E15" s="4">
        <f>SUM('Classification-1'!E15+'Classification-2'!E15)</f>
        <v>1</v>
      </c>
      <c r="F15" s="4">
        <f>SUM('Classification-1'!F15+'Classification-2'!F15)</f>
        <v>0</v>
      </c>
      <c r="G15" s="4">
        <f>SUM('Classification-1'!G15+'Classification-2'!G15)</f>
        <v>0</v>
      </c>
      <c r="H15" s="4">
        <f>SUM('Classification-1'!H15+'Classification-2'!H15)</f>
        <v>0</v>
      </c>
      <c r="I15" s="4">
        <f>SUM('Classification-1'!I15+'Classification-2'!I15)</f>
        <v>0</v>
      </c>
      <c r="J15" s="4">
        <f>SUM('Classification-1'!J15+'Classification-2'!J15)</f>
        <v>0</v>
      </c>
      <c r="K15" s="4">
        <f>SUM('Classification-1'!K15+'Classification-2'!K15)</f>
        <v>0</v>
      </c>
      <c r="L15" s="4">
        <f>SUM('Classification-1'!L15+'Classification-2'!L15)</f>
        <v>0</v>
      </c>
      <c r="M15" s="4">
        <f>SUM('Classification-1'!M15+'Classification-2'!M15)</f>
        <v>0</v>
      </c>
      <c r="N15" s="4">
        <f>SUM('Classification-1'!N15+'Classification-2'!N15)</f>
        <v>0</v>
      </c>
      <c r="O15" s="15">
        <f t="shared" si="0"/>
        <v>116</v>
      </c>
    </row>
    <row r="16" spans="1:15" x14ac:dyDescent="0.25">
      <c r="A16" s="3">
        <v>0.29166666666666702</v>
      </c>
      <c r="B16" s="4">
        <f>SUM('Classification-1'!B16+'Classification-2'!B16)</f>
        <v>3</v>
      </c>
      <c r="C16" s="4">
        <f>SUM('Classification-1'!C16+'Classification-2'!C16)</f>
        <v>263</v>
      </c>
      <c r="D16" s="4">
        <f>SUM('Classification-1'!D16+'Classification-2'!D16)</f>
        <v>21</v>
      </c>
      <c r="E16" s="4">
        <f>SUM('Classification-1'!E16+'Classification-2'!E16)</f>
        <v>0</v>
      </c>
      <c r="F16" s="4">
        <f>SUM('Classification-1'!F16+'Classification-2'!F16)</f>
        <v>4</v>
      </c>
      <c r="G16" s="4">
        <f>SUM('Classification-1'!G16+'Classification-2'!G16)</f>
        <v>0</v>
      </c>
      <c r="H16" s="4">
        <f>SUM('Classification-1'!H16+'Classification-2'!H16)</f>
        <v>0</v>
      </c>
      <c r="I16" s="4">
        <f>SUM('Classification-1'!I16+'Classification-2'!I16)</f>
        <v>1</v>
      </c>
      <c r="J16" s="4">
        <f>SUM('Classification-1'!J16+'Classification-2'!J16)</f>
        <v>0</v>
      </c>
      <c r="K16" s="4">
        <f>SUM('Classification-1'!K16+'Classification-2'!K16)</f>
        <v>0</v>
      </c>
      <c r="L16" s="4">
        <f>SUM('Classification-1'!L16+'Classification-2'!L16)</f>
        <v>0</v>
      </c>
      <c r="M16" s="4">
        <f>SUM('Classification-1'!M16+'Classification-2'!M16)</f>
        <v>0</v>
      </c>
      <c r="N16" s="4">
        <f>SUM('Classification-1'!N16+'Classification-2'!N16)</f>
        <v>0</v>
      </c>
      <c r="O16" s="15">
        <f t="shared" si="0"/>
        <v>292</v>
      </c>
    </row>
    <row r="17" spans="1:15" x14ac:dyDescent="0.25">
      <c r="A17" s="3">
        <v>0.33333333333333298</v>
      </c>
      <c r="B17" s="4">
        <f>SUM('Classification-1'!B17+'Classification-2'!B17)</f>
        <v>0</v>
      </c>
      <c r="C17" s="4">
        <f>SUM('Classification-1'!C17+'Classification-2'!C17)</f>
        <v>307</v>
      </c>
      <c r="D17" s="4">
        <f>SUM('Classification-1'!D17+'Classification-2'!D17)</f>
        <v>31</v>
      </c>
      <c r="E17" s="4">
        <f>SUM('Classification-1'!E17+'Classification-2'!E17)</f>
        <v>0</v>
      </c>
      <c r="F17" s="4">
        <f>SUM('Classification-1'!F17+'Classification-2'!F17)</f>
        <v>4</v>
      </c>
      <c r="G17" s="4">
        <f>SUM('Classification-1'!G17+'Classification-2'!G17)</f>
        <v>1</v>
      </c>
      <c r="H17" s="4">
        <f>SUM('Classification-1'!H17+'Classification-2'!H17)</f>
        <v>0</v>
      </c>
      <c r="I17" s="4">
        <f>SUM('Classification-1'!I17+'Classification-2'!I17)</f>
        <v>1</v>
      </c>
      <c r="J17" s="4">
        <f>SUM('Classification-1'!J17+'Classification-2'!J17)</f>
        <v>0</v>
      </c>
      <c r="K17" s="4">
        <f>SUM('Classification-1'!K17+'Classification-2'!K17)</f>
        <v>0</v>
      </c>
      <c r="L17" s="4">
        <f>SUM('Classification-1'!L17+'Classification-2'!L17)</f>
        <v>0</v>
      </c>
      <c r="M17" s="4">
        <f>SUM('Classification-1'!M17+'Classification-2'!M17)</f>
        <v>0</v>
      </c>
      <c r="N17" s="4">
        <f>SUM('Classification-1'!N17+'Classification-2'!N17)</f>
        <v>0</v>
      </c>
      <c r="O17" s="15">
        <f t="shared" si="0"/>
        <v>344</v>
      </c>
    </row>
    <row r="18" spans="1:15" x14ac:dyDescent="0.25">
      <c r="A18" s="3">
        <v>0.375</v>
      </c>
      <c r="B18" s="4">
        <f>SUM('Classification-1'!B18+'Classification-2'!B18)</f>
        <v>0</v>
      </c>
      <c r="C18" s="4">
        <f>SUM('Classification-1'!C18+'Classification-2'!C18)</f>
        <v>238</v>
      </c>
      <c r="D18" s="4">
        <f>SUM('Classification-1'!D18+'Classification-2'!D18)</f>
        <v>30</v>
      </c>
      <c r="E18" s="4">
        <f>SUM('Classification-1'!E18+'Classification-2'!E18)</f>
        <v>1</v>
      </c>
      <c r="F18" s="4">
        <f>SUM('Classification-1'!F18+'Classification-2'!F18)</f>
        <v>3</v>
      </c>
      <c r="G18" s="4">
        <f>SUM('Classification-1'!G18+'Classification-2'!G18)</f>
        <v>0</v>
      </c>
      <c r="H18" s="4">
        <f>SUM('Classification-1'!H18+'Classification-2'!H18)</f>
        <v>0</v>
      </c>
      <c r="I18" s="4">
        <f>SUM('Classification-1'!I18+'Classification-2'!I18)</f>
        <v>0</v>
      </c>
      <c r="J18" s="4">
        <f>SUM('Classification-1'!J18+'Classification-2'!J18)</f>
        <v>0</v>
      </c>
      <c r="K18" s="4">
        <f>SUM('Classification-1'!K18+'Classification-2'!K18)</f>
        <v>0</v>
      </c>
      <c r="L18" s="4">
        <f>SUM('Classification-1'!L18+'Classification-2'!L18)</f>
        <v>0</v>
      </c>
      <c r="M18" s="4">
        <f>SUM('Classification-1'!M18+'Classification-2'!M18)</f>
        <v>0</v>
      </c>
      <c r="N18" s="4">
        <f>SUM('Classification-1'!N18+'Classification-2'!N18)</f>
        <v>0</v>
      </c>
      <c r="O18" s="15">
        <f t="shared" si="0"/>
        <v>272</v>
      </c>
    </row>
    <row r="19" spans="1:15" x14ac:dyDescent="0.25">
      <c r="A19" s="3">
        <v>0.41666666666666702</v>
      </c>
      <c r="B19" s="4">
        <f>SUM('Classification-1'!B19+'Classification-2'!B19)</f>
        <v>1</v>
      </c>
      <c r="C19" s="4">
        <f>SUM('Classification-1'!C19+'Classification-2'!C19)</f>
        <v>165</v>
      </c>
      <c r="D19" s="4">
        <f>SUM('Classification-1'!D19+'Classification-2'!D19)</f>
        <v>36</v>
      </c>
      <c r="E19" s="4">
        <f>SUM('Classification-1'!E19+'Classification-2'!E19)</f>
        <v>1</v>
      </c>
      <c r="F19" s="4">
        <f>SUM('Classification-1'!F19+'Classification-2'!F19)</f>
        <v>2</v>
      </c>
      <c r="G19" s="4">
        <f>SUM('Classification-1'!G19+'Classification-2'!G19)</f>
        <v>0</v>
      </c>
      <c r="H19" s="4">
        <f>SUM('Classification-1'!H19+'Classification-2'!H19)</f>
        <v>0</v>
      </c>
      <c r="I19" s="4">
        <f>SUM('Classification-1'!I19+'Classification-2'!I19)</f>
        <v>1</v>
      </c>
      <c r="J19" s="4">
        <f>SUM('Classification-1'!J19+'Classification-2'!J19)</f>
        <v>0</v>
      </c>
      <c r="K19" s="4">
        <f>SUM('Classification-1'!K19+'Classification-2'!K19)</f>
        <v>0</v>
      </c>
      <c r="L19" s="4">
        <f>SUM('Classification-1'!L19+'Classification-2'!L19)</f>
        <v>0</v>
      </c>
      <c r="M19" s="4">
        <f>SUM('Classification-1'!M19+'Classification-2'!M19)</f>
        <v>0</v>
      </c>
      <c r="N19" s="4">
        <f>SUM('Classification-1'!N19+'Classification-2'!N19)</f>
        <v>0</v>
      </c>
      <c r="O19" s="15">
        <f t="shared" si="0"/>
        <v>206</v>
      </c>
    </row>
    <row r="20" spans="1:15" x14ac:dyDescent="0.25">
      <c r="A20" s="3">
        <v>0.45833333333333298</v>
      </c>
      <c r="B20" s="4">
        <f>SUM('Classification-1'!B20+'Classification-2'!B20)</f>
        <v>1</v>
      </c>
      <c r="C20" s="4">
        <f>SUM('Classification-1'!C20+'Classification-2'!C20)</f>
        <v>127</v>
      </c>
      <c r="D20" s="4">
        <f>SUM('Classification-1'!D20+'Classification-2'!D20)</f>
        <v>27</v>
      </c>
      <c r="E20" s="4">
        <f>SUM('Classification-1'!E20+'Classification-2'!E20)</f>
        <v>1</v>
      </c>
      <c r="F20" s="4">
        <f>SUM('Classification-1'!F20+'Classification-2'!F20)</f>
        <v>3</v>
      </c>
      <c r="G20" s="4">
        <f>SUM('Classification-1'!G20+'Classification-2'!G20)</f>
        <v>1</v>
      </c>
      <c r="H20" s="4">
        <f>SUM('Classification-1'!H20+'Classification-2'!H20)</f>
        <v>0</v>
      </c>
      <c r="I20" s="4">
        <f>SUM('Classification-1'!I20+'Classification-2'!I20)</f>
        <v>0</v>
      </c>
      <c r="J20" s="4">
        <f>SUM('Classification-1'!J20+'Classification-2'!J20)</f>
        <v>0</v>
      </c>
      <c r="K20" s="4">
        <f>SUM('Classification-1'!K20+'Classification-2'!K20)</f>
        <v>0</v>
      </c>
      <c r="L20" s="4">
        <f>SUM('Classification-1'!L20+'Classification-2'!L20)</f>
        <v>0</v>
      </c>
      <c r="M20" s="4">
        <f>SUM('Classification-1'!M20+'Classification-2'!M20)</f>
        <v>0</v>
      </c>
      <c r="N20" s="4">
        <f>SUM('Classification-1'!N20+'Classification-2'!N20)</f>
        <v>0</v>
      </c>
      <c r="O20" s="15">
        <f t="shared" si="0"/>
        <v>160</v>
      </c>
    </row>
    <row r="21" spans="1:15" x14ac:dyDescent="0.25">
      <c r="A21" s="3">
        <v>0.5</v>
      </c>
      <c r="B21" s="4">
        <f>SUM('Classification-1'!B21+'Classification-2'!B21)</f>
        <v>1</v>
      </c>
      <c r="C21" s="4">
        <f>SUM('Classification-1'!C21+'Classification-2'!C21)</f>
        <v>176</v>
      </c>
      <c r="D21" s="4">
        <f>SUM('Classification-1'!D21+'Classification-2'!D21)</f>
        <v>37</v>
      </c>
      <c r="E21" s="4">
        <f>SUM('Classification-1'!E21+'Classification-2'!E21)</f>
        <v>1</v>
      </c>
      <c r="F21" s="4">
        <f>SUM('Classification-1'!F21+'Classification-2'!F21)</f>
        <v>6</v>
      </c>
      <c r="G21" s="4">
        <f>SUM('Classification-1'!G21+'Classification-2'!G21)</f>
        <v>1</v>
      </c>
      <c r="H21" s="4">
        <f>SUM('Classification-1'!H21+'Classification-2'!H21)</f>
        <v>0</v>
      </c>
      <c r="I21" s="4">
        <f>SUM('Classification-1'!I21+'Classification-2'!I21)</f>
        <v>0</v>
      </c>
      <c r="J21" s="4">
        <f>SUM('Classification-1'!J21+'Classification-2'!J21)</f>
        <v>1</v>
      </c>
      <c r="K21" s="4">
        <f>SUM('Classification-1'!K21+'Classification-2'!K21)</f>
        <v>0</v>
      </c>
      <c r="L21" s="4">
        <f>SUM('Classification-1'!L21+'Classification-2'!L21)</f>
        <v>0</v>
      </c>
      <c r="M21" s="4">
        <f>SUM('Classification-1'!M21+'Classification-2'!M21)</f>
        <v>0</v>
      </c>
      <c r="N21" s="4">
        <f>SUM('Classification-1'!N21+'Classification-2'!N21)</f>
        <v>0</v>
      </c>
      <c r="O21" s="15">
        <f t="shared" si="0"/>
        <v>223</v>
      </c>
    </row>
    <row r="22" spans="1:15" x14ac:dyDescent="0.25">
      <c r="A22" s="3">
        <v>0.54166666666666696</v>
      </c>
      <c r="B22" s="4">
        <f>SUM('Classification-1'!B22+'Classification-2'!B22)</f>
        <v>2</v>
      </c>
      <c r="C22" s="4">
        <f>SUM('Classification-1'!C22+'Classification-2'!C22)</f>
        <v>186</v>
      </c>
      <c r="D22" s="4">
        <f>SUM('Classification-1'!D22+'Classification-2'!D22)</f>
        <v>40</v>
      </c>
      <c r="E22" s="4">
        <f>SUM('Classification-1'!E22+'Classification-2'!E22)</f>
        <v>2</v>
      </c>
      <c r="F22" s="4">
        <f>SUM('Classification-1'!F22+'Classification-2'!F22)</f>
        <v>4</v>
      </c>
      <c r="G22" s="4">
        <f>SUM('Classification-1'!G22+'Classification-2'!G22)</f>
        <v>0</v>
      </c>
      <c r="H22" s="4">
        <f>SUM('Classification-1'!H22+'Classification-2'!H22)</f>
        <v>0</v>
      </c>
      <c r="I22" s="4">
        <f>SUM('Classification-1'!I22+'Classification-2'!I22)</f>
        <v>1</v>
      </c>
      <c r="J22" s="4">
        <f>SUM('Classification-1'!J22+'Classification-2'!J22)</f>
        <v>0</v>
      </c>
      <c r="K22" s="4">
        <f>SUM('Classification-1'!K22+'Classification-2'!K22)</f>
        <v>0</v>
      </c>
      <c r="L22" s="4">
        <f>SUM('Classification-1'!L22+'Classification-2'!L22)</f>
        <v>0</v>
      </c>
      <c r="M22" s="4">
        <f>SUM('Classification-1'!M22+'Classification-2'!M22)</f>
        <v>0</v>
      </c>
      <c r="N22" s="4">
        <f>SUM('Classification-1'!N22+'Classification-2'!N22)</f>
        <v>0</v>
      </c>
      <c r="O22" s="15">
        <f t="shared" si="0"/>
        <v>235</v>
      </c>
    </row>
    <row r="23" spans="1:15" x14ac:dyDescent="0.25">
      <c r="A23" s="3">
        <v>0.58333333333333304</v>
      </c>
      <c r="B23" s="4">
        <f>SUM('Classification-1'!B23+'Classification-2'!B23)</f>
        <v>2</v>
      </c>
      <c r="C23" s="4">
        <f>SUM('Classification-1'!C23+'Classification-2'!C23)</f>
        <v>178</v>
      </c>
      <c r="D23" s="4">
        <f>SUM('Classification-1'!D23+'Classification-2'!D23)</f>
        <v>32</v>
      </c>
      <c r="E23" s="4">
        <f>SUM('Classification-1'!E23+'Classification-2'!E23)</f>
        <v>2</v>
      </c>
      <c r="F23" s="4">
        <f>SUM('Classification-1'!F23+'Classification-2'!F23)</f>
        <v>5</v>
      </c>
      <c r="G23" s="4">
        <f>SUM('Classification-1'!G23+'Classification-2'!G23)</f>
        <v>0</v>
      </c>
      <c r="H23" s="4">
        <f>SUM('Classification-1'!H23+'Classification-2'!H23)</f>
        <v>0</v>
      </c>
      <c r="I23" s="4">
        <f>SUM('Classification-1'!I23+'Classification-2'!I23)</f>
        <v>0</v>
      </c>
      <c r="J23" s="4">
        <f>SUM('Classification-1'!J23+'Classification-2'!J23)</f>
        <v>0</v>
      </c>
      <c r="K23" s="4">
        <f>SUM('Classification-1'!K23+'Classification-2'!K23)</f>
        <v>0</v>
      </c>
      <c r="L23" s="4">
        <f>SUM('Classification-1'!L23+'Classification-2'!L23)</f>
        <v>0</v>
      </c>
      <c r="M23" s="4">
        <f>SUM('Classification-1'!M23+'Classification-2'!M23)</f>
        <v>0</v>
      </c>
      <c r="N23" s="4">
        <f>SUM('Classification-1'!N23+'Classification-2'!N23)</f>
        <v>0</v>
      </c>
      <c r="O23" s="15">
        <f t="shared" si="0"/>
        <v>219</v>
      </c>
    </row>
    <row r="24" spans="1:15" x14ac:dyDescent="0.25">
      <c r="A24" s="3">
        <v>0.625</v>
      </c>
      <c r="B24" s="4">
        <f>SUM('Classification-1'!B24+'Classification-2'!B24)</f>
        <v>0</v>
      </c>
      <c r="C24" s="4">
        <f>SUM('Classification-1'!C24+'Classification-2'!C24)</f>
        <v>183</v>
      </c>
      <c r="D24" s="4">
        <f>SUM('Classification-1'!D24+'Classification-2'!D24)</f>
        <v>34</v>
      </c>
      <c r="E24" s="4">
        <f>SUM('Classification-1'!E24+'Classification-2'!E24)</f>
        <v>1</v>
      </c>
      <c r="F24" s="4">
        <f>SUM('Classification-1'!F24+'Classification-2'!F24)</f>
        <v>7</v>
      </c>
      <c r="G24" s="4">
        <f>SUM('Classification-1'!G24+'Classification-2'!G24)</f>
        <v>0</v>
      </c>
      <c r="H24" s="4">
        <f>SUM('Classification-1'!H24+'Classification-2'!H24)</f>
        <v>0</v>
      </c>
      <c r="I24" s="4">
        <f>SUM('Classification-1'!I24+'Classification-2'!I24)</f>
        <v>0</v>
      </c>
      <c r="J24" s="4">
        <f>SUM('Classification-1'!J24+'Classification-2'!J24)</f>
        <v>0</v>
      </c>
      <c r="K24" s="4">
        <f>SUM('Classification-1'!K24+'Classification-2'!K24)</f>
        <v>0</v>
      </c>
      <c r="L24" s="4">
        <f>SUM('Classification-1'!L24+'Classification-2'!L24)</f>
        <v>0</v>
      </c>
      <c r="M24" s="4">
        <f>SUM('Classification-1'!M24+'Classification-2'!M24)</f>
        <v>0</v>
      </c>
      <c r="N24" s="4">
        <f>SUM('Classification-1'!N24+'Classification-2'!N24)</f>
        <v>0</v>
      </c>
      <c r="O24" s="15">
        <f t="shared" si="0"/>
        <v>225</v>
      </c>
    </row>
    <row r="25" spans="1:15" x14ac:dyDescent="0.25">
      <c r="A25" s="3">
        <v>0.66666666666666696</v>
      </c>
      <c r="B25" s="4">
        <f>SUM('Classification-1'!B25+'Classification-2'!B25)</f>
        <v>1</v>
      </c>
      <c r="C25" s="4">
        <f>SUM('Classification-1'!C25+'Classification-2'!C25)</f>
        <v>216</v>
      </c>
      <c r="D25" s="4">
        <f>SUM('Classification-1'!D25+'Classification-2'!D25)</f>
        <v>37</v>
      </c>
      <c r="E25" s="4">
        <f>SUM('Classification-1'!E25+'Classification-2'!E25)</f>
        <v>0</v>
      </c>
      <c r="F25" s="4">
        <f>SUM('Classification-1'!F25+'Classification-2'!F25)</f>
        <v>7</v>
      </c>
      <c r="G25" s="4">
        <f>SUM('Classification-1'!G25+'Classification-2'!G25)</f>
        <v>0</v>
      </c>
      <c r="H25" s="4">
        <f>SUM('Classification-1'!H25+'Classification-2'!H25)</f>
        <v>0</v>
      </c>
      <c r="I25" s="4">
        <f>SUM('Classification-1'!I25+'Classification-2'!I25)</f>
        <v>1</v>
      </c>
      <c r="J25" s="4">
        <f>SUM('Classification-1'!J25+'Classification-2'!J25)</f>
        <v>0</v>
      </c>
      <c r="K25" s="4">
        <f>SUM('Classification-1'!K25+'Classification-2'!K25)</f>
        <v>0</v>
      </c>
      <c r="L25" s="4">
        <f>SUM('Classification-1'!L25+'Classification-2'!L25)</f>
        <v>0</v>
      </c>
      <c r="M25" s="4">
        <f>SUM('Classification-1'!M25+'Classification-2'!M25)</f>
        <v>0</v>
      </c>
      <c r="N25" s="4">
        <f>SUM('Classification-1'!N25+'Classification-2'!N25)</f>
        <v>0</v>
      </c>
      <c r="O25" s="15">
        <f t="shared" si="0"/>
        <v>262</v>
      </c>
    </row>
    <row r="26" spans="1:15" x14ac:dyDescent="0.25">
      <c r="A26" s="3">
        <v>0.70833333333333304</v>
      </c>
      <c r="B26" s="4">
        <f>SUM('Classification-1'!B26+'Classification-2'!B26)</f>
        <v>1</v>
      </c>
      <c r="C26" s="4">
        <f>SUM('Classification-1'!C26+'Classification-2'!C26)</f>
        <v>183</v>
      </c>
      <c r="D26" s="4">
        <f>SUM('Classification-1'!D26+'Classification-2'!D26)</f>
        <v>32</v>
      </c>
      <c r="E26" s="4">
        <f>SUM('Classification-1'!E26+'Classification-2'!E26)</f>
        <v>0</v>
      </c>
      <c r="F26" s="4">
        <f>SUM('Classification-1'!F26+'Classification-2'!F26)</f>
        <v>6</v>
      </c>
      <c r="G26" s="4">
        <f>SUM('Classification-1'!G26+'Classification-2'!G26)</f>
        <v>0</v>
      </c>
      <c r="H26" s="4">
        <f>SUM('Classification-1'!H26+'Classification-2'!H26)</f>
        <v>0</v>
      </c>
      <c r="I26" s="4">
        <f>SUM('Classification-1'!I26+'Classification-2'!I26)</f>
        <v>1</v>
      </c>
      <c r="J26" s="4">
        <f>SUM('Classification-1'!J26+'Classification-2'!J26)</f>
        <v>0</v>
      </c>
      <c r="K26" s="4">
        <f>SUM('Classification-1'!K26+'Classification-2'!K26)</f>
        <v>0</v>
      </c>
      <c r="L26" s="4">
        <f>SUM('Classification-1'!L26+'Classification-2'!L26)</f>
        <v>0</v>
      </c>
      <c r="M26" s="4">
        <f>SUM('Classification-1'!M26+'Classification-2'!M26)</f>
        <v>0</v>
      </c>
      <c r="N26" s="4">
        <f>SUM('Classification-1'!N26+'Classification-2'!N26)</f>
        <v>0</v>
      </c>
      <c r="O26" s="15">
        <f t="shared" si="0"/>
        <v>223</v>
      </c>
    </row>
    <row r="27" spans="1:15" x14ac:dyDescent="0.25">
      <c r="A27" s="3">
        <v>0.75</v>
      </c>
      <c r="B27" s="4">
        <f>SUM('Classification-1'!B27+'Classification-2'!B27)</f>
        <v>1</v>
      </c>
      <c r="C27" s="4">
        <f>SUM('Classification-1'!C27+'Classification-2'!C27)</f>
        <v>209</v>
      </c>
      <c r="D27" s="4">
        <f>SUM('Classification-1'!D27+'Classification-2'!D27)</f>
        <v>28</v>
      </c>
      <c r="E27" s="4">
        <f>SUM('Classification-1'!E27+'Classification-2'!E27)</f>
        <v>0</v>
      </c>
      <c r="F27" s="4">
        <f>SUM('Classification-1'!F27+'Classification-2'!F27)</f>
        <v>4</v>
      </c>
      <c r="G27" s="4">
        <f>SUM('Classification-1'!G27+'Classification-2'!G27)</f>
        <v>0</v>
      </c>
      <c r="H27" s="4">
        <f>SUM('Classification-1'!H27+'Classification-2'!H27)</f>
        <v>0</v>
      </c>
      <c r="I27" s="4">
        <f>SUM('Classification-1'!I27+'Classification-2'!I27)</f>
        <v>0</v>
      </c>
      <c r="J27" s="4">
        <f>SUM('Classification-1'!J27+'Classification-2'!J27)</f>
        <v>0</v>
      </c>
      <c r="K27" s="4">
        <f>SUM('Classification-1'!K27+'Classification-2'!K27)</f>
        <v>0</v>
      </c>
      <c r="L27" s="4">
        <f>SUM('Classification-1'!L27+'Classification-2'!L27)</f>
        <v>0</v>
      </c>
      <c r="M27" s="4">
        <f>SUM('Classification-1'!M27+'Classification-2'!M27)</f>
        <v>0</v>
      </c>
      <c r="N27" s="4">
        <f>SUM('Classification-1'!N27+'Classification-2'!N27)</f>
        <v>0</v>
      </c>
      <c r="O27" s="15">
        <f t="shared" si="0"/>
        <v>242</v>
      </c>
    </row>
    <row r="28" spans="1:15" x14ac:dyDescent="0.25">
      <c r="A28" s="3">
        <v>0.79166666666666696</v>
      </c>
      <c r="B28" s="4">
        <f>SUM('Classification-1'!B28+'Classification-2'!B28)</f>
        <v>2</v>
      </c>
      <c r="C28" s="4">
        <f>SUM('Classification-1'!C28+'Classification-2'!C28)</f>
        <v>196</v>
      </c>
      <c r="D28" s="4">
        <f>SUM('Classification-1'!D28+'Classification-2'!D28)</f>
        <v>23</v>
      </c>
      <c r="E28" s="4">
        <f>SUM('Classification-1'!E28+'Classification-2'!E28)</f>
        <v>0</v>
      </c>
      <c r="F28" s="4">
        <f>SUM('Classification-1'!F28+'Classification-2'!F28)</f>
        <v>1</v>
      </c>
      <c r="G28" s="4">
        <f>SUM('Classification-1'!G28+'Classification-2'!G28)</f>
        <v>0</v>
      </c>
      <c r="H28" s="4">
        <f>SUM('Classification-1'!H28+'Classification-2'!H28)</f>
        <v>0</v>
      </c>
      <c r="I28" s="4">
        <f>SUM('Classification-1'!I28+'Classification-2'!I28)</f>
        <v>0</v>
      </c>
      <c r="J28" s="4">
        <f>SUM('Classification-1'!J28+'Classification-2'!J28)</f>
        <v>0</v>
      </c>
      <c r="K28" s="4">
        <f>SUM('Classification-1'!K28+'Classification-2'!K28)</f>
        <v>0</v>
      </c>
      <c r="L28" s="4">
        <f>SUM('Classification-1'!L28+'Classification-2'!L28)</f>
        <v>0</v>
      </c>
      <c r="M28" s="4">
        <f>SUM('Classification-1'!M28+'Classification-2'!M28)</f>
        <v>0</v>
      </c>
      <c r="N28" s="4">
        <f>SUM('Classification-1'!N28+'Classification-2'!N28)</f>
        <v>0</v>
      </c>
      <c r="O28" s="15">
        <f t="shared" si="0"/>
        <v>222</v>
      </c>
    </row>
    <row r="29" spans="1:15" x14ac:dyDescent="0.25">
      <c r="A29" s="3">
        <v>0.83333333333333304</v>
      </c>
      <c r="B29" s="4">
        <f>SUM('Classification-1'!B29+'Classification-2'!B29)</f>
        <v>1</v>
      </c>
      <c r="C29" s="4">
        <f>SUM('Classification-1'!C29+'Classification-2'!C29)</f>
        <v>153</v>
      </c>
      <c r="D29" s="4">
        <f>SUM('Classification-1'!D29+'Classification-2'!D29)</f>
        <v>16</v>
      </c>
      <c r="E29" s="4">
        <f>SUM('Classification-1'!E29+'Classification-2'!E29)</f>
        <v>0</v>
      </c>
      <c r="F29" s="4">
        <f>SUM('Classification-1'!F29+'Classification-2'!F29)</f>
        <v>0</v>
      </c>
      <c r="G29" s="4">
        <f>SUM('Classification-1'!G29+'Classification-2'!G29)</f>
        <v>0</v>
      </c>
      <c r="H29" s="4">
        <f>SUM('Classification-1'!H29+'Classification-2'!H29)</f>
        <v>0</v>
      </c>
      <c r="I29" s="4">
        <f>SUM('Classification-1'!I29+'Classification-2'!I29)</f>
        <v>0</v>
      </c>
      <c r="J29" s="4">
        <f>SUM('Classification-1'!J29+'Classification-2'!J29)</f>
        <v>0</v>
      </c>
      <c r="K29" s="4">
        <f>SUM('Classification-1'!K29+'Classification-2'!K29)</f>
        <v>0</v>
      </c>
      <c r="L29" s="4">
        <f>SUM('Classification-1'!L29+'Classification-2'!L29)</f>
        <v>0</v>
      </c>
      <c r="M29" s="4">
        <f>SUM('Classification-1'!M29+'Classification-2'!M29)</f>
        <v>0</v>
      </c>
      <c r="N29" s="4">
        <f>SUM('Classification-1'!N29+'Classification-2'!N29)</f>
        <v>0</v>
      </c>
      <c r="O29" s="15">
        <f t="shared" si="0"/>
        <v>170</v>
      </c>
    </row>
    <row r="30" spans="1:15" x14ac:dyDescent="0.25">
      <c r="A30" s="3">
        <v>0.875</v>
      </c>
      <c r="B30" s="4">
        <f>SUM('Classification-1'!B30+'Classification-2'!B30)</f>
        <v>1</v>
      </c>
      <c r="C30" s="4">
        <f>SUM('Classification-1'!C30+'Classification-2'!C30)</f>
        <v>136</v>
      </c>
      <c r="D30" s="4">
        <f>SUM('Classification-1'!D30+'Classification-2'!D30)</f>
        <v>12</v>
      </c>
      <c r="E30" s="4">
        <f>SUM('Classification-1'!E30+'Classification-2'!E30)</f>
        <v>0</v>
      </c>
      <c r="F30" s="4">
        <f>SUM('Classification-1'!F30+'Classification-2'!F30)</f>
        <v>2</v>
      </c>
      <c r="G30" s="4">
        <f>SUM('Classification-1'!G30+'Classification-2'!G30)</f>
        <v>0</v>
      </c>
      <c r="H30" s="4">
        <f>SUM('Classification-1'!H30+'Classification-2'!H30)</f>
        <v>0</v>
      </c>
      <c r="I30" s="4">
        <f>SUM('Classification-1'!I30+'Classification-2'!I30)</f>
        <v>0</v>
      </c>
      <c r="J30" s="4">
        <f>SUM('Classification-1'!J30+'Classification-2'!J30)</f>
        <v>0</v>
      </c>
      <c r="K30" s="4">
        <f>SUM('Classification-1'!K30+'Classification-2'!K30)</f>
        <v>0</v>
      </c>
      <c r="L30" s="4">
        <f>SUM('Classification-1'!L30+'Classification-2'!L30)</f>
        <v>0</v>
      </c>
      <c r="M30" s="4">
        <f>SUM('Classification-1'!M30+'Classification-2'!M30)</f>
        <v>0</v>
      </c>
      <c r="N30" s="4">
        <f>SUM('Classification-1'!N30+'Classification-2'!N30)</f>
        <v>0</v>
      </c>
      <c r="O30" s="15">
        <f t="shared" si="0"/>
        <v>151</v>
      </c>
    </row>
    <row r="31" spans="1:15" x14ac:dyDescent="0.25">
      <c r="A31" s="3">
        <v>0.91666666666666696</v>
      </c>
      <c r="B31" s="4">
        <f>SUM('Classification-1'!B31+'Classification-2'!B31)</f>
        <v>0</v>
      </c>
      <c r="C31" s="4">
        <f>SUM('Classification-1'!C31+'Classification-2'!C31)</f>
        <v>74</v>
      </c>
      <c r="D31" s="4">
        <f>SUM('Classification-1'!D31+'Classification-2'!D31)</f>
        <v>8</v>
      </c>
      <c r="E31" s="4">
        <f>SUM('Classification-1'!E31+'Classification-2'!E31)</f>
        <v>0</v>
      </c>
      <c r="F31" s="4">
        <f>SUM('Classification-1'!F31+'Classification-2'!F31)</f>
        <v>0</v>
      </c>
      <c r="G31" s="4">
        <f>SUM('Classification-1'!G31+'Classification-2'!G31)</f>
        <v>0</v>
      </c>
      <c r="H31" s="4">
        <f>SUM('Classification-1'!H31+'Classification-2'!H31)</f>
        <v>0</v>
      </c>
      <c r="I31" s="4">
        <f>SUM('Classification-1'!I31+'Classification-2'!I31)</f>
        <v>0</v>
      </c>
      <c r="J31" s="4">
        <f>SUM('Classification-1'!J31+'Classification-2'!J31)</f>
        <v>0</v>
      </c>
      <c r="K31" s="4">
        <f>SUM('Classification-1'!K31+'Classification-2'!K31)</f>
        <v>0</v>
      </c>
      <c r="L31" s="4">
        <f>SUM('Classification-1'!L31+'Classification-2'!L31)</f>
        <v>0</v>
      </c>
      <c r="M31" s="4">
        <f>SUM('Classification-1'!M31+'Classification-2'!M31)</f>
        <v>0</v>
      </c>
      <c r="N31" s="4">
        <f>SUM('Classification-1'!N31+'Classification-2'!N31)</f>
        <v>0</v>
      </c>
      <c r="O31" s="15">
        <f t="shared" si="0"/>
        <v>82</v>
      </c>
    </row>
    <row r="32" spans="1:15" x14ac:dyDescent="0.25">
      <c r="A32" s="3">
        <v>0.95833333333333304</v>
      </c>
      <c r="B32" s="4">
        <f>SUM('Classification-1'!B32+'Classification-2'!B32)</f>
        <v>1</v>
      </c>
      <c r="C32" s="4">
        <f>SUM('Classification-1'!C32+'Classification-2'!C32)</f>
        <v>49</v>
      </c>
      <c r="D32" s="4">
        <f>SUM('Classification-1'!D32+'Classification-2'!D32)</f>
        <v>5</v>
      </c>
      <c r="E32" s="4">
        <f>SUM('Classification-1'!E32+'Classification-2'!E32)</f>
        <v>0</v>
      </c>
      <c r="F32" s="4">
        <f>SUM('Classification-1'!F32+'Classification-2'!F32)</f>
        <v>0</v>
      </c>
      <c r="G32" s="4">
        <f>SUM('Classification-1'!G32+'Classification-2'!G32)</f>
        <v>0</v>
      </c>
      <c r="H32" s="4">
        <f>SUM('Classification-1'!H32+'Classification-2'!H32)</f>
        <v>0</v>
      </c>
      <c r="I32" s="4">
        <f>SUM('Classification-1'!I32+'Classification-2'!I32)</f>
        <v>0</v>
      </c>
      <c r="J32" s="4">
        <f>SUM('Classification-1'!J32+'Classification-2'!J32)</f>
        <v>0</v>
      </c>
      <c r="K32" s="4">
        <f>SUM('Classification-1'!K32+'Classification-2'!K32)</f>
        <v>0</v>
      </c>
      <c r="L32" s="4">
        <f>SUM('Classification-1'!L32+'Classification-2'!L32)</f>
        <v>0</v>
      </c>
      <c r="M32" s="4">
        <f>SUM('Classification-1'!M32+'Classification-2'!M32)</f>
        <v>0</v>
      </c>
      <c r="N32" s="4">
        <f>SUM('Classification-1'!N32+'Classification-2'!N32)</f>
        <v>0</v>
      </c>
      <c r="O32" s="15">
        <f t="shared" si="0"/>
        <v>55</v>
      </c>
    </row>
    <row r="33" spans="1:15" x14ac:dyDescent="0.25">
      <c r="A33" s="10"/>
      <c r="B33" s="11"/>
      <c r="C33" s="11"/>
      <c r="D33" s="11"/>
      <c r="E33" s="11"/>
      <c r="F33" s="11"/>
      <c r="G33" s="11"/>
    </row>
    <row r="34" spans="1:15" x14ac:dyDescent="0.25">
      <c r="A34" s="3" t="s">
        <v>6</v>
      </c>
      <c r="B34" s="2">
        <f>SUM(B9:B32)</f>
        <v>18</v>
      </c>
      <c r="C34" s="2">
        <f t="shared" ref="C34:O34" si="1">SUM(C9:C32)</f>
        <v>3252</v>
      </c>
      <c r="D34" s="2">
        <f t="shared" si="1"/>
        <v>482</v>
      </c>
      <c r="E34" s="2">
        <f t="shared" si="1"/>
        <v>10</v>
      </c>
      <c r="F34" s="2">
        <f t="shared" si="1"/>
        <v>60</v>
      </c>
      <c r="G34" s="2">
        <f t="shared" si="1"/>
        <v>4</v>
      </c>
      <c r="H34" s="2">
        <f t="shared" si="1"/>
        <v>0</v>
      </c>
      <c r="I34" s="2">
        <f t="shared" si="1"/>
        <v>6</v>
      </c>
      <c r="J34" s="2">
        <f t="shared" si="1"/>
        <v>1</v>
      </c>
      <c r="K34" s="2">
        <f t="shared" si="1"/>
        <v>0</v>
      </c>
      <c r="L34" s="2">
        <f t="shared" si="1"/>
        <v>0</v>
      </c>
      <c r="M34" s="2">
        <f t="shared" si="1"/>
        <v>0</v>
      </c>
      <c r="N34" s="2">
        <f t="shared" si="1"/>
        <v>0</v>
      </c>
      <c r="O34" s="2">
        <f t="shared" si="1"/>
        <v>3833</v>
      </c>
    </row>
    <row r="35" spans="1:15" x14ac:dyDescent="0.25">
      <c r="A35" s="3" t="s">
        <v>9</v>
      </c>
      <c r="B35" s="16">
        <f>SUM(B34)/$O$34</f>
        <v>4.6960605270023482E-3</v>
      </c>
      <c r="C35" s="16">
        <f t="shared" ref="C35:N35" si="2">SUM(C34)/$O$34</f>
        <v>0.84842160187842419</v>
      </c>
      <c r="D35" s="16">
        <f t="shared" si="2"/>
        <v>0.12575006522306287</v>
      </c>
      <c r="E35" s="16">
        <f t="shared" si="2"/>
        <v>2.6089225150013043E-3</v>
      </c>
      <c r="F35" s="16">
        <f t="shared" si="2"/>
        <v>1.5653535090007827E-2</v>
      </c>
      <c r="G35" s="16">
        <f t="shared" si="2"/>
        <v>1.0435690060005217E-3</v>
      </c>
      <c r="H35" s="16">
        <f t="shared" si="2"/>
        <v>0</v>
      </c>
      <c r="I35" s="16">
        <f t="shared" si="2"/>
        <v>1.5653535090007827E-3</v>
      </c>
      <c r="J35" s="16">
        <f t="shared" si="2"/>
        <v>2.6089225150013044E-4</v>
      </c>
      <c r="K35" s="16">
        <f t="shared" si="2"/>
        <v>0</v>
      </c>
      <c r="L35" s="16">
        <f t="shared" si="2"/>
        <v>0</v>
      </c>
      <c r="M35" s="16">
        <f t="shared" si="2"/>
        <v>0</v>
      </c>
      <c r="N35" s="16">
        <f t="shared" si="2"/>
        <v>0</v>
      </c>
      <c r="O35" s="17"/>
    </row>
    <row r="36" spans="1:15" x14ac:dyDescent="0.25">
      <c r="A36" s="10"/>
      <c r="B36" s="11"/>
      <c r="C36" s="11"/>
      <c r="D36" s="11"/>
      <c r="E36" s="11"/>
      <c r="F36" s="11"/>
      <c r="G36" s="11"/>
    </row>
    <row r="37" spans="1:15" x14ac:dyDescent="0.25">
      <c r="A37" s="10"/>
      <c r="B37" s="11"/>
      <c r="C37" s="11"/>
      <c r="D37" s="18"/>
      <c r="E37" s="19"/>
      <c r="F37" s="11"/>
      <c r="G37" s="11"/>
    </row>
    <row r="38" spans="1:15" x14ac:dyDescent="0.25">
      <c r="A38" s="10"/>
      <c r="B38" s="4"/>
      <c r="C38" s="21" t="s">
        <v>28</v>
      </c>
      <c r="D38" s="21">
        <f>SUM(B34)</f>
        <v>18</v>
      </c>
      <c r="E38" s="22">
        <f>(D38)/$O$34</f>
        <v>4.6960605270023482E-3</v>
      </c>
      <c r="F38" s="22"/>
      <c r="G38" s="11"/>
    </row>
    <row r="39" spans="1:15" x14ac:dyDescent="0.25">
      <c r="A39" s="10"/>
      <c r="B39" s="23" t="s">
        <v>29</v>
      </c>
      <c r="C39" s="24"/>
      <c r="D39" s="21">
        <f>SUM(C34:D34)</f>
        <v>3734</v>
      </c>
      <c r="E39" s="22">
        <f t="shared" ref="E39:E40" si="3">SUM(D39)/$O$34</f>
        <v>0.97417166710148706</v>
      </c>
      <c r="F39" s="22"/>
      <c r="G39" s="11"/>
    </row>
    <row r="40" spans="1:15" x14ac:dyDescent="0.25">
      <c r="A40" s="10"/>
      <c r="B40" s="4"/>
      <c r="C40" s="21" t="s">
        <v>30</v>
      </c>
      <c r="D40" s="21">
        <f>SUM(E34:N34)</f>
        <v>81</v>
      </c>
      <c r="E40" s="22">
        <f t="shared" si="3"/>
        <v>2.1132272371510566E-2</v>
      </c>
      <c r="F40" s="22"/>
      <c r="G40" s="11"/>
    </row>
    <row r="41" spans="1:15" x14ac:dyDescent="0.25">
      <c r="A41" s="10"/>
      <c r="B41" s="11"/>
      <c r="C41" s="11"/>
      <c r="D41" s="18"/>
      <c r="E41" s="19"/>
      <c r="F41" s="11"/>
      <c r="G41" s="11"/>
    </row>
    <row r="42" spans="1:15" x14ac:dyDescent="0.25">
      <c r="A42" s="10"/>
      <c r="B42" s="11"/>
      <c r="C42" s="11"/>
      <c r="D42" s="18"/>
      <c r="E42" s="19"/>
      <c r="F42" s="11"/>
      <c r="G42" s="11"/>
    </row>
    <row r="43" spans="1:15" x14ac:dyDescent="0.25">
      <c r="A43" s="10"/>
      <c r="B43" s="11"/>
      <c r="C43" s="11"/>
      <c r="D43" s="18"/>
      <c r="E43" s="19"/>
      <c r="F43" s="11"/>
      <c r="G43" s="11"/>
    </row>
    <row r="44" spans="1:15" x14ac:dyDescent="0.25">
      <c r="A44" s="10"/>
      <c r="B44" s="11"/>
      <c r="C44" s="11"/>
      <c r="D44" s="18"/>
      <c r="E44" s="19"/>
      <c r="F44" s="11"/>
      <c r="G44" s="11"/>
    </row>
    <row r="45" spans="1:15" x14ac:dyDescent="0.25">
      <c r="A45" s="10"/>
      <c r="B45" s="11"/>
      <c r="C45" s="11"/>
      <c r="D45" s="18"/>
      <c r="E45" s="18"/>
      <c r="F45" s="11"/>
      <c r="G45" s="11"/>
    </row>
    <row r="46" spans="1:15" x14ac:dyDescent="0.25">
      <c r="A46" s="10"/>
      <c r="B46" s="11"/>
      <c r="C46" s="11"/>
      <c r="D46" s="18"/>
      <c r="E46" s="20"/>
      <c r="F46" s="11"/>
      <c r="G46" s="11"/>
    </row>
    <row r="47" spans="1:15" x14ac:dyDescent="0.25">
      <c r="A47" s="10"/>
      <c r="B47" s="11"/>
      <c r="C47" s="11"/>
      <c r="D47" s="18"/>
      <c r="E47" s="18"/>
      <c r="F47" s="11"/>
      <c r="G47" s="11"/>
    </row>
    <row r="48" spans="1:15" x14ac:dyDescent="0.25">
      <c r="A48" s="10"/>
      <c r="B48" s="11"/>
      <c r="C48" s="11"/>
      <c r="D48" s="18"/>
      <c r="E48" s="20"/>
      <c r="F48" s="11"/>
      <c r="G48" s="11"/>
    </row>
    <row r="49" spans="1:7" x14ac:dyDescent="0.25">
      <c r="A49" s="10"/>
      <c r="B49" s="11"/>
      <c r="C49" s="11"/>
      <c r="D49" s="18"/>
      <c r="E49" s="18"/>
      <c r="F49" s="11"/>
      <c r="G49" s="11"/>
    </row>
    <row r="50" spans="1:7" x14ac:dyDescent="0.25">
      <c r="A50" s="10"/>
      <c r="B50" s="11"/>
      <c r="C50" s="11"/>
      <c r="D50" s="18"/>
      <c r="E50" s="20"/>
      <c r="F50" s="11"/>
      <c r="G50" s="11"/>
    </row>
    <row r="51" spans="1:7" x14ac:dyDescent="0.25">
      <c r="A51" s="10"/>
      <c r="B51" s="11"/>
      <c r="C51" s="11"/>
      <c r="D51" s="18"/>
      <c r="E51" s="18"/>
      <c r="F51" s="11"/>
      <c r="G51" s="11"/>
    </row>
    <row r="52" spans="1:7" x14ac:dyDescent="0.25">
      <c r="A52" s="10"/>
      <c r="B52" s="11"/>
      <c r="C52" s="11"/>
      <c r="D52" s="18"/>
      <c r="E52" s="20"/>
      <c r="F52" s="11"/>
      <c r="G52" s="11"/>
    </row>
    <row r="53" spans="1:7" x14ac:dyDescent="0.25">
      <c r="A53" s="10"/>
      <c r="B53" s="11"/>
      <c r="C53" s="11"/>
      <c r="D53" s="11"/>
      <c r="E53" s="11"/>
      <c r="F53" s="11"/>
      <c r="G53" s="11"/>
    </row>
    <row r="54" spans="1:7" x14ac:dyDescent="0.25">
      <c r="A54" s="10"/>
      <c r="B54" s="11"/>
      <c r="C54" s="11"/>
      <c r="D54" s="11"/>
      <c r="E54" s="11"/>
      <c r="F54" s="11"/>
      <c r="G54" s="11"/>
    </row>
    <row r="55" spans="1:7" x14ac:dyDescent="0.25">
      <c r="A55" s="10"/>
      <c r="B55" s="11"/>
      <c r="C55" s="11"/>
      <c r="D55" s="11"/>
      <c r="E55" s="11"/>
      <c r="F55" s="11"/>
      <c r="G55" s="11"/>
    </row>
    <row r="56" spans="1:7" x14ac:dyDescent="0.25">
      <c r="A56" s="10"/>
      <c r="B56" s="11"/>
      <c r="C56" s="11"/>
      <c r="D56" s="11"/>
      <c r="E56" s="11"/>
      <c r="F56" s="11"/>
      <c r="G56" s="11"/>
    </row>
    <row r="57" spans="1:7" x14ac:dyDescent="0.25">
      <c r="A57" s="10"/>
      <c r="B57" s="11"/>
      <c r="C57" s="11"/>
      <c r="D57" s="11"/>
      <c r="E57" s="11"/>
      <c r="F57" s="11"/>
      <c r="G57" s="11"/>
    </row>
    <row r="58" spans="1:7" x14ac:dyDescent="0.25">
      <c r="A58" s="10"/>
      <c r="B58" s="11"/>
      <c r="C58" s="11"/>
      <c r="D58" s="11"/>
      <c r="E58" s="11"/>
      <c r="F58" s="11"/>
      <c r="G58" s="11"/>
    </row>
    <row r="59" spans="1:7" x14ac:dyDescent="0.25">
      <c r="A59" s="10"/>
      <c r="B59" s="11"/>
      <c r="C59" s="11"/>
      <c r="D59" s="11"/>
      <c r="E59" s="11"/>
      <c r="F59" s="11"/>
      <c r="G59" s="11"/>
    </row>
    <row r="60" spans="1:7" x14ac:dyDescent="0.25">
      <c r="A60" s="10"/>
      <c r="B60" s="11"/>
      <c r="C60" s="11"/>
      <c r="D60" s="11"/>
      <c r="E60" s="11"/>
      <c r="F60" s="11"/>
      <c r="G60" s="11"/>
    </row>
    <row r="61" spans="1:7" x14ac:dyDescent="0.25">
      <c r="A61" s="10"/>
      <c r="B61" s="11"/>
      <c r="C61" s="11"/>
      <c r="D61" s="11"/>
      <c r="E61" s="11"/>
      <c r="F61" s="11"/>
      <c r="G61" s="11"/>
    </row>
    <row r="62" spans="1:7" x14ac:dyDescent="0.25">
      <c r="A62" s="10"/>
      <c r="B62" s="11"/>
      <c r="C62" s="11"/>
      <c r="D62" s="11"/>
      <c r="E62" s="11"/>
      <c r="F62" s="11"/>
      <c r="G62" s="11"/>
    </row>
    <row r="63" spans="1:7" x14ac:dyDescent="0.25">
      <c r="A63" s="10"/>
      <c r="B63" s="11"/>
      <c r="C63" s="11"/>
      <c r="D63" s="11"/>
      <c r="E63" s="11"/>
      <c r="F63" s="11"/>
      <c r="G63" s="11"/>
    </row>
    <row r="64" spans="1:7" x14ac:dyDescent="0.25">
      <c r="A64" s="10"/>
      <c r="B64" s="11"/>
      <c r="C64" s="11"/>
      <c r="D64" s="11"/>
      <c r="E64" s="11"/>
      <c r="F64" s="11"/>
      <c r="G64" s="11"/>
    </row>
    <row r="65" spans="1:7" x14ac:dyDescent="0.25">
      <c r="A65" s="10"/>
      <c r="B65" s="11"/>
      <c r="C65" s="11"/>
      <c r="D65" s="11"/>
      <c r="E65" s="11"/>
      <c r="F65" s="11"/>
      <c r="G65" s="11"/>
    </row>
    <row r="66" spans="1:7" x14ac:dyDescent="0.25">
      <c r="A66" s="10"/>
      <c r="B66" s="11"/>
      <c r="C66" s="11"/>
      <c r="D66" s="11"/>
      <c r="E66" s="11"/>
      <c r="F66" s="11"/>
      <c r="G66" s="11"/>
    </row>
    <row r="67" spans="1:7" x14ac:dyDescent="0.25">
      <c r="A67" s="10"/>
      <c r="B67" s="11"/>
      <c r="C67" s="11"/>
      <c r="D67" s="11"/>
      <c r="E67" s="11"/>
      <c r="F67" s="11"/>
      <c r="G67" s="11"/>
    </row>
    <row r="68" spans="1:7" x14ac:dyDescent="0.25">
      <c r="A68" s="10"/>
      <c r="B68" s="11"/>
      <c r="C68" s="11"/>
      <c r="D68" s="11"/>
      <c r="E68" s="11"/>
      <c r="F68" s="11"/>
      <c r="G68" s="11"/>
    </row>
    <row r="69" spans="1:7" x14ac:dyDescent="0.25">
      <c r="A69" s="10"/>
      <c r="B69" s="11"/>
      <c r="C69" s="11"/>
      <c r="D69" s="11"/>
      <c r="E69" s="11"/>
      <c r="F69" s="11"/>
      <c r="G69" s="11"/>
    </row>
    <row r="70" spans="1:7" x14ac:dyDescent="0.25">
      <c r="A70" s="10"/>
      <c r="B70" s="11"/>
      <c r="C70" s="11"/>
      <c r="D70" s="11"/>
      <c r="E70" s="11"/>
      <c r="F70" s="11"/>
      <c r="G70" s="11"/>
    </row>
    <row r="71" spans="1:7" x14ac:dyDescent="0.25">
      <c r="A71" s="10"/>
      <c r="B71" s="11"/>
      <c r="C71" s="11"/>
      <c r="D71" s="11"/>
      <c r="E71" s="11"/>
      <c r="F71" s="11"/>
      <c r="G71" s="11"/>
    </row>
    <row r="72" spans="1:7" x14ac:dyDescent="0.25">
      <c r="A72" s="10"/>
      <c r="B72" s="11"/>
      <c r="C72" s="11"/>
      <c r="D72" s="11"/>
      <c r="E72" s="11"/>
      <c r="F72" s="11"/>
      <c r="G72" s="11"/>
    </row>
    <row r="73" spans="1:7" x14ac:dyDescent="0.25">
      <c r="A73" s="10"/>
      <c r="B73" s="11"/>
      <c r="C73" s="11"/>
      <c r="D73" s="11"/>
      <c r="E73" s="11"/>
      <c r="F73" s="11"/>
      <c r="G73" s="11"/>
    </row>
    <row r="74" spans="1:7" x14ac:dyDescent="0.25">
      <c r="A74" s="10"/>
      <c r="B74" s="11"/>
      <c r="C74" s="11"/>
      <c r="D74" s="11"/>
      <c r="E74" s="11"/>
      <c r="F74" s="11"/>
      <c r="G74" s="11"/>
    </row>
    <row r="75" spans="1:7" x14ac:dyDescent="0.25">
      <c r="A75" s="10"/>
      <c r="B75" s="11"/>
      <c r="C75" s="11"/>
      <c r="D75" s="11"/>
      <c r="E75" s="11"/>
      <c r="F75" s="11"/>
      <c r="G75" s="11"/>
    </row>
    <row r="76" spans="1:7" x14ac:dyDescent="0.25">
      <c r="A76" s="10"/>
      <c r="B76" s="11"/>
      <c r="C76" s="11"/>
      <c r="D76" s="11"/>
      <c r="E76" s="11"/>
      <c r="F76" s="11"/>
      <c r="G76" s="11"/>
    </row>
    <row r="77" spans="1:7" x14ac:dyDescent="0.25">
      <c r="A77" s="10"/>
      <c r="B77" s="11"/>
      <c r="C77" s="11"/>
      <c r="D77" s="11"/>
      <c r="E77" s="11"/>
      <c r="F77" s="11"/>
      <c r="G77" s="11"/>
    </row>
    <row r="78" spans="1:7" x14ac:dyDescent="0.25">
      <c r="A78" s="10"/>
      <c r="B78" s="11"/>
      <c r="C78" s="11"/>
      <c r="D78" s="11"/>
      <c r="E78" s="11"/>
      <c r="F78" s="11"/>
      <c r="G78" s="11"/>
    </row>
    <row r="79" spans="1:7" x14ac:dyDescent="0.25">
      <c r="A79" s="10"/>
      <c r="B79" s="11"/>
      <c r="C79" s="11"/>
      <c r="D79" s="11"/>
      <c r="E79" s="11"/>
      <c r="F79" s="11"/>
      <c r="G79" s="11"/>
    </row>
    <row r="80" spans="1:7" x14ac:dyDescent="0.25">
      <c r="A80" s="10"/>
      <c r="B80" s="11"/>
      <c r="C80" s="11"/>
      <c r="D80" s="11"/>
      <c r="E80" s="11"/>
      <c r="F80" s="11"/>
      <c r="G80" s="11"/>
    </row>
    <row r="81" spans="1:7" x14ac:dyDescent="0.25">
      <c r="A81" s="10"/>
      <c r="B81" s="11"/>
      <c r="C81" s="11"/>
      <c r="D81" s="11"/>
      <c r="E81" s="11"/>
      <c r="F81" s="11"/>
      <c r="G81" s="11"/>
    </row>
    <row r="82" spans="1:7" x14ac:dyDescent="0.25">
      <c r="A82" s="10"/>
      <c r="B82" s="11"/>
      <c r="C82" s="11"/>
      <c r="D82" s="11"/>
      <c r="E82" s="11"/>
      <c r="F82" s="11"/>
      <c r="G82" s="11"/>
    </row>
    <row r="83" spans="1:7" x14ac:dyDescent="0.25">
      <c r="A83" s="10"/>
      <c r="B83" s="11"/>
      <c r="C83" s="11"/>
      <c r="D83" s="11"/>
      <c r="E83" s="11"/>
      <c r="F83" s="11"/>
      <c r="G83" s="11"/>
    </row>
    <row r="84" spans="1:7" x14ac:dyDescent="0.25">
      <c r="A84" s="10"/>
      <c r="B84" s="11"/>
      <c r="C84" s="11"/>
      <c r="D84" s="11"/>
      <c r="E84" s="11"/>
      <c r="F84" s="11"/>
      <c r="G84" s="11"/>
    </row>
    <row r="85" spans="1:7" x14ac:dyDescent="0.25">
      <c r="A85" s="10"/>
      <c r="B85" s="11"/>
      <c r="C85" s="11"/>
      <c r="D85" s="11"/>
      <c r="E85" s="11"/>
      <c r="F85" s="11"/>
      <c r="G85" s="11"/>
    </row>
    <row r="86" spans="1:7" x14ac:dyDescent="0.25">
      <c r="A86" s="10"/>
      <c r="B86" s="11"/>
      <c r="C86" s="11"/>
      <c r="D86" s="11"/>
      <c r="E86" s="11"/>
      <c r="F86" s="11"/>
      <c r="G86" s="11"/>
    </row>
    <row r="87" spans="1:7" x14ac:dyDescent="0.25">
      <c r="A87" s="10"/>
      <c r="B87" s="11"/>
      <c r="C87" s="11"/>
      <c r="D87" s="11"/>
      <c r="E87" s="11"/>
      <c r="F87" s="11"/>
      <c r="G87" s="11"/>
    </row>
    <row r="88" spans="1:7" x14ac:dyDescent="0.25">
      <c r="A88" s="10"/>
      <c r="B88" s="11"/>
      <c r="C88" s="11"/>
      <c r="D88" s="11"/>
      <c r="E88" s="11"/>
      <c r="F88" s="11"/>
      <c r="G88" s="11"/>
    </row>
    <row r="89" spans="1:7" x14ac:dyDescent="0.25">
      <c r="A89" s="10"/>
      <c r="B89" s="11"/>
      <c r="C89" s="11"/>
      <c r="D89" s="11"/>
      <c r="E89" s="11"/>
      <c r="F89" s="11"/>
      <c r="G89" s="11"/>
    </row>
    <row r="90" spans="1:7" x14ac:dyDescent="0.25">
      <c r="A90" s="10"/>
      <c r="B90" s="11"/>
      <c r="C90" s="11"/>
      <c r="D90" s="11"/>
      <c r="E90" s="11"/>
      <c r="F90" s="11"/>
      <c r="G90" s="11"/>
    </row>
    <row r="91" spans="1:7" x14ac:dyDescent="0.25">
      <c r="A91" s="10"/>
      <c r="B91" s="11"/>
      <c r="C91" s="11"/>
      <c r="D91" s="11"/>
      <c r="E91" s="11"/>
      <c r="F91" s="11"/>
      <c r="G91" s="11"/>
    </row>
    <row r="92" spans="1:7" x14ac:dyDescent="0.25">
      <c r="A92" s="10"/>
      <c r="B92" s="11"/>
      <c r="C92" s="11"/>
      <c r="D92" s="11"/>
      <c r="E92" s="11"/>
      <c r="F92" s="11"/>
      <c r="G92" s="11"/>
    </row>
    <row r="93" spans="1:7" x14ac:dyDescent="0.25">
      <c r="A93" s="10"/>
      <c r="B93" s="11"/>
      <c r="C93" s="11"/>
      <c r="D93" s="11"/>
      <c r="E93" s="11"/>
      <c r="F93" s="11"/>
      <c r="G93" s="11"/>
    </row>
    <row r="94" spans="1:7" x14ac:dyDescent="0.25">
      <c r="A94" s="10"/>
      <c r="B94" s="11"/>
      <c r="C94" s="11"/>
      <c r="D94" s="11"/>
      <c r="E94" s="11"/>
      <c r="F94" s="11"/>
      <c r="G94" s="11"/>
    </row>
    <row r="95" spans="1:7" x14ac:dyDescent="0.25">
      <c r="A95" s="10"/>
      <c r="B95" s="11"/>
      <c r="C95" s="11"/>
      <c r="D95" s="11"/>
      <c r="E95" s="11"/>
      <c r="F95" s="11"/>
      <c r="G95" s="11"/>
    </row>
    <row r="96" spans="1:7" x14ac:dyDescent="0.25">
      <c r="A96" s="10"/>
      <c r="B96" s="11"/>
      <c r="C96" s="11"/>
      <c r="D96" s="11"/>
      <c r="E96" s="11"/>
      <c r="F96" s="11"/>
      <c r="G96" s="11"/>
    </row>
    <row r="97" spans="1:7" x14ac:dyDescent="0.25">
      <c r="A97" s="10"/>
      <c r="B97" s="11"/>
      <c r="C97" s="11"/>
      <c r="D97" s="11"/>
      <c r="E97" s="11"/>
      <c r="F97" s="11"/>
      <c r="G97" s="11"/>
    </row>
    <row r="98" spans="1:7" x14ac:dyDescent="0.25">
      <c r="A98" s="10"/>
      <c r="B98" s="11"/>
      <c r="C98" s="11"/>
      <c r="D98" s="11"/>
      <c r="E98" s="11"/>
      <c r="F98" s="11"/>
      <c r="G98" s="11"/>
    </row>
    <row r="99" spans="1:7" x14ac:dyDescent="0.25">
      <c r="A99" s="10"/>
      <c r="B99" s="11"/>
      <c r="C99" s="11"/>
      <c r="D99" s="11"/>
      <c r="E99" s="11"/>
      <c r="F99" s="11"/>
      <c r="G99" s="11"/>
    </row>
    <row r="100" spans="1:7" x14ac:dyDescent="0.25">
      <c r="A100" s="10"/>
      <c r="B100" s="11"/>
      <c r="C100" s="11"/>
      <c r="D100" s="11"/>
      <c r="E100" s="11"/>
      <c r="F100" s="11"/>
      <c r="G100" s="11"/>
    </row>
    <row r="101" spans="1:7" x14ac:dyDescent="0.25">
      <c r="A101" s="10"/>
      <c r="B101" s="11"/>
      <c r="C101" s="11"/>
      <c r="D101" s="11"/>
      <c r="E101" s="11"/>
      <c r="F101" s="11"/>
      <c r="G101" s="11"/>
    </row>
    <row r="102" spans="1:7" x14ac:dyDescent="0.25">
      <c r="A102" s="10"/>
      <c r="B102" s="11"/>
      <c r="C102" s="11"/>
      <c r="D102" s="11"/>
      <c r="E102" s="11"/>
      <c r="F102" s="11"/>
      <c r="G102" s="11"/>
    </row>
    <row r="103" spans="1:7" x14ac:dyDescent="0.25">
      <c r="A103" s="10"/>
      <c r="B103" s="11"/>
      <c r="C103" s="11"/>
      <c r="D103" s="11"/>
      <c r="E103" s="11"/>
      <c r="F103" s="11"/>
      <c r="G103" s="11"/>
    </row>
    <row r="104" spans="1:7" x14ac:dyDescent="0.25">
      <c r="A104" s="10"/>
      <c r="B104" s="11"/>
      <c r="C104" s="11"/>
      <c r="D104" s="11"/>
      <c r="E104" s="11"/>
      <c r="F104" s="11"/>
      <c r="G104" s="11"/>
    </row>
    <row r="105" spans="1:7" x14ac:dyDescent="0.25">
      <c r="A105" s="11"/>
      <c r="B105" s="12"/>
      <c r="C105" s="12"/>
      <c r="D105" s="11"/>
      <c r="E105" s="12"/>
      <c r="F105" s="12"/>
      <c r="G105" s="12"/>
    </row>
    <row r="106" spans="1:7" x14ac:dyDescent="0.25">
      <c r="A106" s="13"/>
      <c r="B106" s="13"/>
      <c r="C106" s="13"/>
      <c r="D106" s="13"/>
      <c r="E106" s="13"/>
      <c r="F106" s="13"/>
      <c r="G106" s="12"/>
    </row>
    <row r="107" spans="1:7" x14ac:dyDescent="0.25">
      <c r="A107" s="13"/>
      <c r="B107" s="11"/>
      <c r="C107" s="11"/>
      <c r="D107" s="11"/>
      <c r="E107" s="11"/>
      <c r="F107" s="11"/>
      <c r="G107" s="12"/>
    </row>
  </sheetData>
  <mergeCells count="5">
    <mergeCell ref="E7:E8"/>
    <mergeCell ref="E38:F38"/>
    <mergeCell ref="B39:C39"/>
    <mergeCell ref="E39:F39"/>
    <mergeCell ref="E40:F40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Classification-1</vt:lpstr>
      <vt:lpstr>Classification-2</vt:lpstr>
      <vt:lpstr>Classification-Combined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PDI Dell</dc:creator>
  <cp:lastModifiedBy>PDI Dell</cp:lastModifiedBy>
  <dcterms:created xsi:type="dcterms:W3CDTF">2013-08-23T12:07:42Z</dcterms:created>
  <dcterms:modified xsi:type="dcterms:W3CDTF">2013-12-05T12:32:08Z</dcterms:modified>
</cp:coreProperties>
</file>