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DI Dell\Desktop\PDI to Cloud\175448-Charlestown (BTD)\"/>
    </mc:Choice>
  </mc:AlternateContent>
  <bookViews>
    <workbookView xWindow="0" yWindow="0" windowWidth="28800" windowHeight="13845"/>
  </bookViews>
  <sheets>
    <sheet name="Volume" sheetId="1" r:id="rId1"/>
    <sheet name="Speed-1" sheetId="2" r:id="rId2"/>
    <sheet name="Classification-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A6" i="3" l="1"/>
  <c r="A6" i="2"/>
  <c r="C3" i="3" l="1"/>
  <c r="C3" i="2"/>
  <c r="C2" i="3"/>
  <c r="C2" i="2"/>
  <c r="C1" i="2"/>
  <c r="O9" i="3" l="1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10" i="2" l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9" i="2"/>
  <c r="D34" i="3" l="1"/>
  <c r="F34" i="3"/>
  <c r="H34" i="3"/>
  <c r="J34" i="3"/>
  <c r="L34" i="3"/>
  <c r="N34" i="3"/>
  <c r="M34" i="3"/>
  <c r="K34" i="3"/>
  <c r="I34" i="3"/>
  <c r="G34" i="3"/>
  <c r="E34" i="3"/>
  <c r="C34" i="3"/>
  <c r="C34" i="2"/>
  <c r="D34" i="2"/>
  <c r="E34" i="2"/>
  <c r="F34" i="2"/>
  <c r="G34" i="2"/>
  <c r="H34" i="2"/>
  <c r="I34" i="2"/>
  <c r="J34" i="2"/>
  <c r="K34" i="2"/>
  <c r="L34" i="2"/>
  <c r="M34" i="2"/>
  <c r="N34" i="2"/>
  <c r="B34" i="2"/>
  <c r="E51" i="2" l="1"/>
  <c r="E47" i="2"/>
  <c r="E49" i="2"/>
  <c r="D39" i="3"/>
  <c r="O34" i="2"/>
  <c r="E46" i="2" s="1"/>
  <c r="D40" i="3"/>
  <c r="B34" i="3"/>
  <c r="D38" i="3" s="1"/>
  <c r="O34" i="3"/>
  <c r="F105" i="1"/>
  <c r="D105" i="1"/>
  <c r="D106" i="1"/>
  <c r="B105" i="1"/>
  <c r="B106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8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1" i="1"/>
  <c r="G32" i="1" l="1"/>
  <c r="G64" i="1"/>
  <c r="G88" i="1"/>
  <c r="G48" i="1"/>
  <c r="G16" i="1"/>
  <c r="G72" i="1"/>
  <c r="G56" i="1"/>
  <c r="G40" i="1"/>
  <c r="G24" i="1"/>
  <c r="G11" i="1"/>
  <c r="G96" i="1"/>
  <c r="G80" i="1"/>
  <c r="E40" i="3"/>
  <c r="E38" i="3"/>
  <c r="E50" i="2"/>
  <c r="D35" i="2"/>
  <c r="F35" i="2"/>
  <c r="H35" i="2"/>
  <c r="J35" i="2"/>
  <c r="L35" i="2"/>
  <c r="N35" i="2"/>
  <c r="E52" i="2"/>
  <c r="E48" i="2"/>
  <c r="C35" i="2"/>
  <c r="E35" i="2"/>
  <c r="G35" i="2"/>
  <c r="I35" i="2"/>
  <c r="K35" i="2"/>
  <c r="M35" i="2"/>
  <c r="B35" i="2"/>
  <c r="E39" i="3"/>
  <c r="G100" i="1"/>
  <c r="G92" i="1"/>
  <c r="G84" i="1"/>
  <c r="G76" i="1"/>
  <c r="G68" i="1"/>
  <c r="G60" i="1"/>
  <c r="G52" i="1"/>
  <c r="G44" i="1"/>
  <c r="G36" i="1"/>
  <c r="G28" i="1"/>
  <c r="G20" i="1"/>
  <c r="G12" i="1"/>
  <c r="F106" i="1"/>
  <c r="N35" i="3"/>
  <c r="J35" i="3"/>
  <c r="F35" i="3"/>
  <c r="B35" i="3"/>
  <c r="K35" i="3"/>
  <c r="G35" i="3"/>
  <c r="C35" i="3"/>
  <c r="L35" i="3"/>
  <c r="H35" i="3"/>
  <c r="D35" i="3"/>
  <c r="M35" i="3"/>
  <c r="I35" i="3"/>
  <c r="E35" i="3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</calcChain>
</file>

<file path=xl/sharedStrings.xml><?xml version="1.0" encoding="utf-8"?>
<sst xmlns="http://schemas.openxmlformats.org/spreadsheetml/2006/main" count="86" uniqueCount="53">
  <si>
    <t>Location:</t>
  </si>
  <si>
    <t>Date:</t>
  </si>
  <si>
    <t>Volume</t>
  </si>
  <si>
    <t>Time Intervals</t>
  </si>
  <si>
    <t>15-min</t>
  </si>
  <si>
    <t>Hour</t>
  </si>
  <si>
    <t>Total</t>
  </si>
  <si>
    <t>Totals:</t>
  </si>
  <si>
    <t>Neighborhood:</t>
  </si>
  <si>
    <t>Speed</t>
  </si>
  <si>
    <t>Time</t>
  </si>
  <si>
    <t>Percent</t>
  </si>
  <si>
    <t>Number of Vehicles &gt;25 MPH:</t>
  </si>
  <si>
    <t>Number in pace:</t>
  </si>
  <si>
    <t>10 MPH pace speed:</t>
  </si>
  <si>
    <t>Mean Speed (Average):</t>
  </si>
  <si>
    <t>95th Percentile:</t>
  </si>
  <si>
    <t>85th Percentile:</t>
  </si>
  <si>
    <t>50th Percentile:</t>
  </si>
  <si>
    <t>15th Percentile:</t>
  </si>
  <si>
    <t>Percent of Vehicles &gt;25 MPH:</t>
  </si>
  <si>
    <t>Number of Vehicles &gt;30 MPH:</t>
  </si>
  <si>
    <t>Percent of Vehicles &gt;30 MPH:</t>
  </si>
  <si>
    <t>Number of Vehicles &gt;35 MPH:</t>
  </si>
  <si>
    <t>Percent of Vehicles &gt;35 MPH:</t>
  </si>
  <si>
    <t>Percent in Pace</t>
  </si>
  <si>
    <t>Classification</t>
  </si>
  <si>
    <t>Motor</t>
  </si>
  <si>
    <t>Cycle</t>
  </si>
  <si>
    <t>Cars &amp;</t>
  </si>
  <si>
    <t>Trailers</t>
  </si>
  <si>
    <t>2 Axle</t>
  </si>
  <si>
    <t>Long</t>
  </si>
  <si>
    <t>Buses</t>
  </si>
  <si>
    <t>6 Tire</t>
  </si>
  <si>
    <t>3 Axle</t>
  </si>
  <si>
    <t>Single</t>
  </si>
  <si>
    <t>4 Axle</t>
  </si>
  <si>
    <t>&lt;5 Axle</t>
  </si>
  <si>
    <t>Double</t>
  </si>
  <si>
    <t>5 Axle</t>
  </si>
  <si>
    <t>&gt;6 Axle</t>
  </si>
  <si>
    <t>Multi</t>
  </si>
  <si>
    <t>6 Axle</t>
  </si>
  <si>
    <t>Motorcycles:</t>
  </si>
  <si>
    <t>Cars and Light Trucks:</t>
  </si>
  <si>
    <t>Heavy Vehicles:</t>
  </si>
  <si>
    <t xml:space="preserve"> </t>
  </si>
  <si>
    <t>MPH</t>
  </si>
  <si>
    <t>Charlestown, MA</t>
  </si>
  <si>
    <t>NB</t>
  </si>
  <si>
    <t>11-20</t>
  </si>
  <si>
    <t>Pearl Street south Medford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</si>
</sst>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4"/>
    </xf>
    <xf numFmtId="164" fontId="1" fillId="0" borderId="0" xfId="1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 indent="4"/>
    </xf>
    <xf numFmtId="0" fontId="1" fillId="0" borderId="0" xfId="0" applyFont="1" applyFill="1" applyBorder="1" applyAlignment="1">
      <alignment horizontal="right"/>
    </xf>
    <xf numFmtId="49" fontId="1" fillId="0" borderId="0" xfId="0" applyNumberFormat="1" applyFont="1" applyFill="1" applyBorder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workbookViewId="0">
      <selection activeCell="G4" sqref="G4"/>
    </sheetView>
  </sheetViews>
  <sheetFormatPr defaultRowHeight="15" x14ac:dyDescent="0.25"/>
  <cols>
    <col min="1" max="1" width="15.28515625" style="1" customWidth="1"/>
    <col min="3" max="3" width="10.7109375" bestFit="1" customWidth="1"/>
    <col min="4" max="4" width="9.140625" style="1"/>
  </cols>
  <sheetData>
    <row r="1" spans="1:23" x14ac:dyDescent="0.25">
      <c r="B1" s="6" t="s">
        <v>0</v>
      </c>
      <c r="C1" s="8" t="s">
        <v>52</v>
      </c>
    </row>
    <row r="2" spans="1:23" x14ac:dyDescent="0.25">
      <c r="B2" s="6" t="s">
        <v>1</v>
      </c>
      <c r="C2" s="27">
        <v>42746</v>
      </c>
    </row>
    <row r="3" spans="1:23" x14ac:dyDescent="0.25">
      <c r="B3" s="6" t="s">
        <v>8</v>
      </c>
      <c r="C3" s="8" t="s">
        <v>49</v>
      </c>
    </row>
    <row r="5" spans="1:23" x14ac:dyDescent="0.25">
      <c r="A5" s="8" t="s">
        <v>2</v>
      </c>
    </row>
    <row r="6" spans="1:23" x14ac:dyDescent="0.25">
      <c r="A6" s="2"/>
      <c r="B6" s="28" t="s">
        <v>50</v>
      </c>
      <c r="C6" s="28"/>
      <c r="D6" s="28"/>
      <c r="E6" s="28"/>
      <c r="F6" s="28" t="s">
        <v>6</v>
      </c>
      <c r="G6" s="28"/>
    </row>
    <row r="7" spans="1:23" s="1" customFormat="1" x14ac:dyDescent="0.25">
      <c r="A7" s="3" t="s">
        <v>3</v>
      </c>
      <c r="B7" s="3" t="s">
        <v>4</v>
      </c>
      <c r="C7" s="3" t="s">
        <v>5</v>
      </c>
      <c r="D7" s="3" t="s">
        <v>4</v>
      </c>
      <c r="E7" s="3" t="s">
        <v>5</v>
      </c>
      <c r="F7" s="3" t="s">
        <v>4</v>
      </c>
      <c r="G7" s="3" t="s">
        <v>5</v>
      </c>
    </row>
    <row r="8" spans="1:23" x14ac:dyDescent="0.25">
      <c r="A8" s="4">
        <v>0</v>
      </c>
      <c r="B8" s="5">
        <v>0</v>
      </c>
      <c r="C8" s="5"/>
      <c r="D8" s="5"/>
      <c r="E8" s="5"/>
      <c r="F8" s="5">
        <f>SUM(B8,D8)</f>
        <v>0</v>
      </c>
      <c r="G8" s="5"/>
    </row>
    <row r="9" spans="1:23" x14ac:dyDescent="0.25">
      <c r="A9" s="4">
        <v>1.0416666666666666E-2</v>
      </c>
      <c r="B9" s="5">
        <v>0</v>
      </c>
      <c r="C9" s="5"/>
      <c r="D9" s="5"/>
      <c r="E9" s="5"/>
      <c r="F9" s="5">
        <f t="shared" ref="F9:F72" si="0">SUM(B9,D9)</f>
        <v>0</v>
      </c>
      <c r="G9" s="5"/>
    </row>
    <row r="10" spans="1:23" x14ac:dyDescent="0.25">
      <c r="A10" s="4">
        <v>2.0833333333333301E-2</v>
      </c>
      <c r="B10" s="5">
        <v>1</v>
      </c>
      <c r="C10" s="5"/>
      <c r="D10" s="5"/>
      <c r="E10" s="5"/>
      <c r="F10" s="5">
        <f t="shared" si="0"/>
        <v>1</v>
      </c>
      <c r="G10" s="5"/>
    </row>
    <row r="11" spans="1:23" x14ac:dyDescent="0.25">
      <c r="A11" s="4">
        <v>3.125E-2</v>
      </c>
      <c r="B11" s="5">
        <v>1</v>
      </c>
      <c r="C11" s="5">
        <f>SUM(B8:B11)</f>
        <v>2</v>
      </c>
      <c r="D11" s="5"/>
      <c r="E11" s="5">
        <f>SUM(D8:D11)</f>
        <v>0</v>
      </c>
      <c r="F11" s="5">
        <f t="shared" si="0"/>
        <v>1</v>
      </c>
      <c r="G11" s="5">
        <f>SUM(F8:F11)</f>
        <v>2</v>
      </c>
    </row>
    <row r="12" spans="1:23" x14ac:dyDescent="0.25">
      <c r="A12" s="4">
        <v>4.1666666666666699E-2</v>
      </c>
      <c r="B12" s="5">
        <v>0</v>
      </c>
      <c r="C12" s="5">
        <f t="shared" ref="C12:E75" si="1">SUM(B9:B12)</f>
        <v>2</v>
      </c>
      <c r="D12" s="5"/>
      <c r="E12" s="5">
        <f t="shared" si="1"/>
        <v>0</v>
      </c>
      <c r="F12" s="5">
        <f t="shared" si="0"/>
        <v>0</v>
      </c>
      <c r="G12" s="5">
        <f t="shared" ref="G12" si="2">SUM(F9:F12)</f>
        <v>2</v>
      </c>
    </row>
    <row r="13" spans="1:23" x14ac:dyDescent="0.25">
      <c r="A13" s="4">
        <v>5.2083333333333301E-2</v>
      </c>
      <c r="B13" s="5">
        <v>0</v>
      </c>
      <c r="C13" s="5">
        <f t="shared" si="1"/>
        <v>2</v>
      </c>
      <c r="D13" s="5"/>
      <c r="E13" s="5">
        <f t="shared" si="1"/>
        <v>0</v>
      </c>
      <c r="F13" s="5">
        <f t="shared" si="0"/>
        <v>0</v>
      </c>
      <c r="G13" s="5">
        <f t="shared" ref="G13" si="3">SUM(F10:F13)</f>
        <v>2</v>
      </c>
    </row>
    <row r="14" spans="1:23" x14ac:dyDescent="0.25">
      <c r="A14" s="4">
        <v>6.25E-2</v>
      </c>
      <c r="B14" s="5">
        <v>0</v>
      </c>
      <c r="C14" s="5">
        <f t="shared" si="1"/>
        <v>1</v>
      </c>
      <c r="D14" s="5"/>
      <c r="E14" s="5">
        <f t="shared" si="1"/>
        <v>0</v>
      </c>
      <c r="F14" s="5">
        <f t="shared" si="0"/>
        <v>0</v>
      </c>
      <c r="G14" s="5">
        <f t="shared" ref="G14" si="4">SUM(F11:F14)</f>
        <v>1</v>
      </c>
      <c r="W14" t="s">
        <v>47</v>
      </c>
    </row>
    <row r="15" spans="1:23" x14ac:dyDescent="0.25">
      <c r="A15" s="4">
        <v>7.2916666666666699E-2</v>
      </c>
      <c r="B15" s="5">
        <v>0</v>
      </c>
      <c r="C15" s="5">
        <f t="shared" si="1"/>
        <v>0</v>
      </c>
      <c r="D15" s="5"/>
      <c r="E15" s="5">
        <f t="shared" si="1"/>
        <v>0</v>
      </c>
      <c r="F15" s="5">
        <f t="shared" si="0"/>
        <v>0</v>
      </c>
      <c r="G15" s="5">
        <f t="shared" ref="G15" si="5">SUM(F12:F15)</f>
        <v>0</v>
      </c>
    </row>
    <row r="16" spans="1:23" x14ac:dyDescent="0.25">
      <c r="A16" s="4">
        <v>8.3333333333333301E-2</v>
      </c>
      <c r="B16" s="5">
        <v>0</v>
      </c>
      <c r="C16" s="5">
        <f t="shared" si="1"/>
        <v>0</v>
      </c>
      <c r="D16" s="5"/>
      <c r="E16" s="5">
        <f t="shared" si="1"/>
        <v>0</v>
      </c>
      <c r="F16" s="5">
        <f t="shared" si="0"/>
        <v>0</v>
      </c>
      <c r="G16" s="5">
        <f t="shared" ref="G16" si="6">SUM(F13:F16)</f>
        <v>0</v>
      </c>
    </row>
    <row r="17" spans="1:11" x14ac:dyDescent="0.25">
      <c r="A17" s="4">
        <v>9.375E-2</v>
      </c>
      <c r="B17" s="5">
        <v>0</v>
      </c>
      <c r="C17" s="5">
        <f t="shared" si="1"/>
        <v>0</v>
      </c>
      <c r="D17" s="5"/>
      <c r="E17" s="5">
        <f t="shared" si="1"/>
        <v>0</v>
      </c>
      <c r="F17" s="5">
        <f t="shared" si="0"/>
        <v>0</v>
      </c>
      <c r="G17" s="5">
        <f t="shared" ref="G17" si="7">SUM(F14:F17)</f>
        <v>0</v>
      </c>
    </row>
    <row r="18" spans="1:11" x14ac:dyDescent="0.25">
      <c r="A18" s="4">
        <v>0.104166666666667</v>
      </c>
      <c r="B18" s="5">
        <v>0</v>
      </c>
      <c r="C18" s="5">
        <f t="shared" si="1"/>
        <v>0</v>
      </c>
      <c r="D18" s="5"/>
      <c r="E18" s="5">
        <f t="shared" si="1"/>
        <v>0</v>
      </c>
      <c r="F18" s="5">
        <f t="shared" si="0"/>
        <v>0</v>
      </c>
      <c r="G18" s="5">
        <f t="shared" ref="G18" si="8">SUM(F15:F18)</f>
        <v>0</v>
      </c>
      <c r="K18" t="s">
        <v>47</v>
      </c>
    </row>
    <row r="19" spans="1:11" x14ac:dyDescent="0.25">
      <c r="A19" s="4">
        <v>0.114583333333333</v>
      </c>
      <c r="B19" s="5">
        <v>1</v>
      </c>
      <c r="C19" s="5">
        <f t="shared" si="1"/>
        <v>1</v>
      </c>
      <c r="D19" s="5"/>
      <c r="E19" s="5">
        <f t="shared" si="1"/>
        <v>0</v>
      </c>
      <c r="F19" s="5">
        <f t="shared" si="0"/>
        <v>1</v>
      </c>
      <c r="G19" s="5">
        <f t="shared" ref="G19" si="9">SUM(F16:F19)</f>
        <v>1</v>
      </c>
    </row>
    <row r="20" spans="1:11" x14ac:dyDescent="0.25">
      <c r="A20" s="4">
        <v>0.125</v>
      </c>
      <c r="B20" s="5">
        <v>0</v>
      </c>
      <c r="C20" s="5">
        <f t="shared" si="1"/>
        <v>1</v>
      </c>
      <c r="D20" s="5"/>
      <c r="E20" s="5">
        <f t="shared" si="1"/>
        <v>0</v>
      </c>
      <c r="F20" s="5">
        <f t="shared" si="0"/>
        <v>0</v>
      </c>
      <c r="G20" s="5">
        <f t="shared" ref="G20" si="10">SUM(F17:F20)</f>
        <v>1</v>
      </c>
    </row>
    <row r="21" spans="1:11" x14ac:dyDescent="0.25">
      <c r="A21" s="4">
        <v>0.13541666666666699</v>
      </c>
      <c r="B21" s="5">
        <v>0</v>
      </c>
      <c r="C21" s="5">
        <f t="shared" si="1"/>
        <v>1</v>
      </c>
      <c r="D21" s="5"/>
      <c r="E21" s="5">
        <f t="shared" si="1"/>
        <v>0</v>
      </c>
      <c r="F21" s="5">
        <f t="shared" si="0"/>
        <v>0</v>
      </c>
      <c r="G21" s="5">
        <f t="shared" ref="G21" si="11">SUM(F18:F21)</f>
        <v>1</v>
      </c>
    </row>
    <row r="22" spans="1:11" x14ac:dyDescent="0.25">
      <c r="A22" s="4">
        <v>0.14583333333333301</v>
      </c>
      <c r="B22" s="5">
        <v>0</v>
      </c>
      <c r="C22" s="5">
        <f t="shared" si="1"/>
        <v>1</v>
      </c>
      <c r="D22" s="5"/>
      <c r="E22" s="5">
        <f t="shared" si="1"/>
        <v>0</v>
      </c>
      <c r="F22" s="5">
        <f t="shared" si="0"/>
        <v>0</v>
      </c>
      <c r="G22" s="5">
        <f t="shared" ref="G22" si="12">SUM(F19:F22)</f>
        <v>1</v>
      </c>
    </row>
    <row r="23" spans="1:11" x14ac:dyDescent="0.25">
      <c r="A23" s="4">
        <v>0.15625</v>
      </c>
      <c r="B23" s="5">
        <v>0</v>
      </c>
      <c r="C23" s="5">
        <f t="shared" si="1"/>
        <v>0</v>
      </c>
      <c r="D23" s="5"/>
      <c r="E23" s="5">
        <f t="shared" si="1"/>
        <v>0</v>
      </c>
      <c r="F23" s="5">
        <f t="shared" si="0"/>
        <v>0</v>
      </c>
      <c r="G23" s="5">
        <f t="shared" ref="G23" si="13">SUM(F20:F23)</f>
        <v>0</v>
      </c>
    </row>
    <row r="24" spans="1:11" x14ac:dyDescent="0.25">
      <c r="A24" s="4">
        <v>0.16666666666666699</v>
      </c>
      <c r="B24" s="5">
        <v>0</v>
      </c>
      <c r="C24" s="5">
        <f t="shared" si="1"/>
        <v>0</v>
      </c>
      <c r="D24" s="5"/>
      <c r="E24" s="5">
        <f t="shared" si="1"/>
        <v>0</v>
      </c>
      <c r="F24" s="5">
        <f t="shared" si="0"/>
        <v>0</v>
      </c>
      <c r="G24" s="5">
        <f t="shared" ref="G24" si="14">SUM(F21:F24)</f>
        <v>0</v>
      </c>
    </row>
    <row r="25" spans="1:11" x14ac:dyDescent="0.25">
      <c r="A25" s="4">
        <v>0.17708333333333301</v>
      </c>
      <c r="B25" s="5">
        <v>0</v>
      </c>
      <c r="C25" s="5">
        <f t="shared" si="1"/>
        <v>0</v>
      </c>
      <c r="D25" s="5"/>
      <c r="E25" s="5">
        <f t="shared" si="1"/>
        <v>0</v>
      </c>
      <c r="F25" s="5">
        <f t="shared" si="0"/>
        <v>0</v>
      </c>
      <c r="G25" s="5">
        <f t="shared" ref="G25" si="15">SUM(F22:F25)</f>
        <v>0</v>
      </c>
    </row>
    <row r="26" spans="1:11" x14ac:dyDescent="0.25">
      <c r="A26" s="4">
        <v>0.1875</v>
      </c>
      <c r="B26" s="5">
        <v>0</v>
      </c>
      <c r="C26" s="5">
        <f t="shared" si="1"/>
        <v>0</v>
      </c>
      <c r="D26" s="5"/>
      <c r="E26" s="5">
        <f t="shared" si="1"/>
        <v>0</v>
      </c>
      <c r="F26" s="5">
        <f t="shared" si="0"/>
        <v>0</v>
      </c>
      <c r="G26" s="5">
        <f t="shared" ref="G26" si="16">SUM(F23:F26)</f>
        <v>0</v>
      </c>
    </row>
    <row r="27" spans="1:11" x14ac:dyDescent="0.25">
      <c r="A27" s="4">
        <v>0.19791666666666699</v>
      </c>
      <c r="B27" s="5">
        <v>3</v>
      </c>
      <c r="C27" s="5">
        <f t="shared" si="1"/>
        <v>3</v>
      </c>
      <c r="D27" s="5"/>
      <c r="E27" s="5">
        <f t="shared" si="1"/>
        <v>0</v>
      </c>
      <c r="F27" s="5">
        <f t="shared" si="0"/>
        <v>3</v>
      </c>
      <c r="G27" s="5">
        <f t="shared" ref="G27" si="17">SUM(F24:F27)</f>
        <v>3</v>
      </c>
    </row>
    <row r="28" spans="1:11" x14ac:dyDescent="0.25">
      <c r="A28" s="4">
        <v>0.20833333333333301</v>
      </c>
      <c r="B28" s="5">
        <v>0</v>
      </c>
      <c r="C28" s="5">
        <f t="shared" si="1"/>
        <v>3</v>
      </c>
      <c r="D28" s="5"/>
      <c r="E28" s="5">
        <f t="shared" si="1"/>
        <v>0</v>
      </c>
      <c r="F28" s="5">
        <f t="shared" si="0"/>
        <v>0</v>
      </c>
      <c r="G28" s="5">
        <f t="shared" ref="G28" si="18">SUM(F25:F28)</f>
        <v>3</v>
      </c>
    </row>
    <row r="29" spans="1:11" x14ac:dyDescent="0.25">
      <c r="A29" s="4">
        <v>0.21875</v>
      </c>
      <c r="B29" s="5">
        <v>0</v>
      </c>
      <c r="C29" s="5">
        <f t="shared" si="1"/>
        <v>3</v>
      </c>
      <c r="D29" s="5"/>
      <c r="E29" s="5">
        <f t="shared" si="1"/>
        <v>0</v>
      </c>
      <c r="F29" s="5">
        <f t="shared" si="0"/>
        <v>0</v>
      </c>
      <c r="G29" s="5">
        <f t="shared" ref="G29" si="19">SUM(F26:F29)</f>
        <v>3</v>
      </c>
    </row>
    <row r="30" spans="1:11" x14ac:dyDescent="0.25">
      <c r="A30" s="4">
        <v>0.22916666666666699</v>
      </c>
      <c r="B30" s="5">
        <v>1</v>
      </c>
      <c r="C30" s="5">
        <f t="shared" si="1"/>
        <v>4</v>
      </c>
      <c r="D30" s="5"/>
      <c r="E30" s="5">
        <f t="shared" si="1"/>
        <v>0</v>
      </c>
      <c r="F30" s="5">
        <f t="shared" si="0"/>
        <v>1</v>
      </c>
      <c r="G30" s="5">
        <f t="shared" ref="G30" si="20">SUM(F27:F30)</f>
        <v>4</v>
      </c>
    </row>
    <row r="31" spans="1:11" x14ac:dyDescent="0.25">
      <c r="A31" s="4">
        <v>0.23958333333333301</v>
      </c>
      <c r="B31" s="5">
        <v>2</v>
      </c>
      <c r="C31" s="5">
        <f t="shared" si="1"/>
        <v>3</v>
      </c>
      <c r="D31" s="5"/>
      <c r="E31" s="5">
        <f t="shared" si="1"/>
        <v>0</v>
      </c>
      <c r="F31" s="5">
        <f t="shared" si="0"/>
        <v>2</v>
      </c>
      <c r="G31" s="5">
        <f t="shared" ref="G31" si="21">SUM(F28:F31)</f>
        <v>3</v>
      </c>
    </row>
    <row r="32" spans="1:11" x14ac:dyDescent="0.25">
      <c r="A32" s="4">
        <v>0.25</v>
      </c>
      <c r="B32" s="5">
        <v>2</v>
      </c>
      <c r="C32" s="5">
        <f t="shared" si="1"/>
        <v>5</v>
      </c>
      <c r="D32" s="5"/>
      <c r="E32" s="5">
        <f t="shared" si="1"/>
        <v>0</v>
      </c>
      <c r="F32" s="5">
        <f t="shared" si="0"/>
        <v>2</v>
      </c>
      <c r="G32" s="5">
        <f t="shared" ref="G32" si="22">SUM(F29:F32)</f>
        <v>5</v>
      </c>
    </row>
    <row r="33" spans="1:12" x14ac:dyDescent="0.25">
      <c r="A33" s="4">
        <v>0.26041666666666702</v>
      </c>
      <c r="B33" s="5">
        <v>2</v>
      </c>
      <c r="C33" s="5">
        <f t="shared" si="1"/>
        <v>7</v>
      </c>
      <c r="D33" s="5"/>
      <c r="E33" s="5">
        <f t="shared" si="1"/>
        <v>0</v>
      </c>
      <c r="F33" s="5">
        <f t="shared" si="0"/>
        <v>2</v>
      </c>
      <c r="G33" s="5">
        <f t="shared" ref="G33" si="23">SUM(F30:F33)</f>
        <v>7</v>
      </c>
    </row>
    <row r="34" spans="1:12" x14ac:dyDescent="0.25">
      <c r="A34" s="4">
        <v>0.27083333333333298</v>
      </c>
      <c r="B34" s="5">
        <v>0</v>
      </c>
      <c r="C34" s="5">
        <f t="shared" si="1"/>
        <v>6</v>
      </c>
      <c r="D34" s="5"/>
      <c r="E34" s="5">
        <f t="shared" si="1"/>
        <v>0</v>
      </c>
      <c r="F34" s="5">
        <f t="shared" si="0"/>
        <v>0</v>
      </c>
      <c r="G34" s="5">
        <f t="shared" ref="G34" si="24">SUM(F31:F34)</f>
        <v>6</v>
      </c>
    </row>
    <row r="35" spans="1:12" x14ac:dyDescent="0.25">
      <c r="A35" s="4">
        <v>0.28125</v>
      </c>
      <c r="B35" s="5">
        <v>2</v>
      </c>
      <c r="C35" s="5">
        <f t="shared" si="1"/>
        <v>6</v>
      </c>
      <c r="D35" s="5"/>
      <c r="E35" s="5">
        <f t="shared" si="1"/>
        <v>0</v>
      </c>
      <c r="F35" s="5">
        <f t="shared" si="0"/>
        <v>2</v>
      </c>
      <c r="G35" s="5">
        <f t="shared" ref="G35" si="25">SUM(F32:F35)</f>
        <v>6</v>
      </c>
    </row>
    <row r="36" spans="1:12" x14ac:dyDescent="0.25">
      <c r="A36" s="4">
        <v>0.29166666666666702</v>
      </c>
      <c r="B36" s="5">
        <v>4</v>
      </c>
      <c r="C36" s="5">
        <f t="shared" si="1"/>
        <v>8</v>
      </c>
      <c r="D36" s="5"/>
      <c r="E36" s="5">
        <f t="shared" si="1"/>
        <v>0</v>
      </c>
      <c r="F36" s="5">
        <f t="shared" si="0"/>
        <v>4</v>
      </c>
      <c r="G36" s="5">
        <f t="shared" ref="G36" si="26">SUM(F33:F36)</f>
        <v>8</v>
      </c>
    </row>
    <row r="37" spans="1:12" x14ac:dyDescent="0.25">
      <c r="A37" s="4">
        <v>0.30208333333333298</v>
      </c>
      <c r="B37" s="5">
        <v>7</v>
      </c>
      <c r="C37" s="5">
        <f t="shared" si="1"/>
        <v>13</v>
      </c>
      <c r="D37" s="5"/>
      <c r="E37" s="5">
        <f t="shared" si="1"/>
        <v>0</v>
      </c>
      <c r="F37" s="5">
        <f t="shared" si="0"/>
        <v>7</v>
      </c>
      <c r="G37" s="5">
        <f t="shared" ref="G37" si="27">SUM(F34:F37)</f>
        <v>13</v>
      </c>
      <c r="L37" t="s">
        <v>47</v>
      </c>
    </row>
    <row r="38" spans="1:12" x14ac:dyDescent="0.25">
      <c r="A38" s="4">
        <v>0.3125</v>
      </c>
      <c r="B38" s="5">
        <v>8</v>
      </c>
      <c r="C38" s="5">
        <f t="shared" si="1"/>
        <v>21</v>
      </c>
      <c r="D38" s="5"/>
      <c r="E38" s="5">
        <f t="shared" si="1"/>
        <v>0</v>
      </c>
      <c r="F38" s="5">
        <f t="shared" si="0"/>
        <v>8</v>
      </c>
      <c r="G38" s="5">
        <f t="shared" ref="G38" si="28">SUM(F35:F38)</f>
        <v>21</v>
      </c>
    </row>
    <row r="39" spans="1:12" x14ac:dyDescent="0.25">
      <c r="A39" s="4">
        <v>0.32291666666666702</v>
      </c>
      <c r="B39" s="5">
        <v>7</v>
      </c>
      <c r="C39" s="5">
        <f t="shared" si="1"/>
        <v>26</v>
      </c>
      <c r="D39" s="5"/>
      <c r="E39" s="5">
        <f t="shared" si="1"/>
        <v>0</v>
      </c>
      <c r="F39" s="5">
        <f t="shared" si="0"/>
        <v>7</v>
      </c>
      <c r="G39" s="5">
        <f t="shared" ref="G39" si="29">SUM(F36:F39)</f>
        <v>26</v>
      </c>
    </row>
    <row r="40" spans="1:12" x14ac:dyDescent="0.25">
      <c r="A40" s="4">
        <v>0.33333333333333298</v>
      </c>
      <c r="B40" s="5">
        <v>9</v>
      </c>
      <c r="C40" s="5">
        <f t="shared" si="1"/>
        <v>31</v>
      </c>
      <c r="D40" s="5"/>
      <c r="E40" s="5">
        <f t="shared" si="1"/>
        <v>0</v>
      </c>
      <c r="F40" s="5">
        <f t="shared" si="0"/>
        <v>9</v>
      </c>
      <c r="G40" s="5">
        <f t="shared" ref="G40" si="30">SUM(F37:F40)</f>
        <v>31</v>
      </c>
    </row>
    <row r="41" spans="1:12" x14ac:dyDescent="0.25">
      <c r="A41" s="4">
        <v>0.34375</v>
      </c>
      <c r="B41" s="5">
        <v>2</v>
      </c>
      <c r="C41" s="5">
        <f t="shared" si="1"/>
        <v>26</v>
      </c>
      <c r="D41" s="5"/>
      <c r="E41" s="5">
        <f t="shared" si="1"/>
        <v>0</v>
      </c>
      <c r="F41" s="5">
        <f t="shared" si="0"/>
        <v>2</v>
      </c>
      <c r="G41" s="5">
        <f t="shared" ref="G41" si="31">SUM(F38:F41)</f>
        <v>26</v>
      </c>
    </row>
    <row r="42" spans="1:12" x14ac:dyDescent="0.25">
      <c r="A42" s="4">
        <v>0.35416666666666702</v>
      </c>
      <c r="B42" s="5">
        <v>6</v>
      </c>
      <c r="C42" s="5">
        <f t="shared" si="1"/>
        <v>24</v>
      </c>
      <c r="D42" s="5"/>
      <c r="E42" s="5">
        <f t="shared" si="1"/>
        <v>0</v>
      </c>
      <c r="F42" s="5">
        <f t="shared" si="0"/>
        <v>6</v>
      </c>
      <c r="G42" s="5">
        <f t="shared" ref="G42" si="32">SUM(F39:F42)</f>
        <v>24</v>
      </c>
    </row>
    <row r="43" spans="1:12" x14ac:dyDescent="0.25">
      <c r="A43" s="4">
        <v>0.36458333333333298</v>
      </c>
      <c r="B43" s="5">
        <v>4</v>
      </c>
      <c r="C43" s="5">
        <f t="shared" si="1"/>
        <v>21</v>
      </c>
      <c r="D43" s="5"/>
      <c r="E43" s="5">
        <f t="shared" si="1"/>
        <v>0</v>
      </c>
      <c r="F43" s="5">
        <f t="shared" si="0"/>
        <v>4</v>
      </c>
      <c r="G43" s="5">
        <f t="shared" ref="G43" si="33">SUM(F40:F43)</f>
        <v>21</v>
      </c>
    </row>
    <row r="44" spans="1:12" x14ac:dyDescent="0.25">
      <c r="A44" s="4">
        <v>0.375</v>
      </c>
      <c r="B44" s="5">
        <v>2</v>
      </c>
      <c r="C44" s="5">
        <f t="shared" si="1"/>
        <v>14</v>
      </c>
      <c r="D44" s="5"/>
      <c r="E44" s="5">
        <f t="shared" si="1"/>
        <v>0</v>
      </c>
      <c r="F44" s="5">
        <f t="shared" si="0"/>
        <v>2</v>
      </c>
      <c r="G44" s="5">
        <f t="shared" ref="G44" si="34">SUM(F41:F44)</f>
        <v>14</v>
      </c>
    </row>
    <row r="45" spans="1:12" x14ac:dyDescent="0.25">
      <c r="A45" s="4">
        <v>0.38541666666666702</v>
      </c>
      <c r="B45" s="5">
        <v>3</v>
      </c>
      <c r="C45" s="5">
        <f t="shared" si="1"/>
        <v>15</v>
      </c>
      <c r="D45" s="5"/>
      <c r="E45" s="5">
        <f t="shared" si="1"/>
        <v>0</v>
      </c>
      <c r="F45" s="5">
        <f t="shared" si="0"/>
        <v>3</v>
      </c>
      <c r="G45" s="5">
        <f t="shared" ref="G45" si="35">SUM(F42:F45)</f>
        <v>15</v>
      </c>
    </row>
    <row r="46" spans="1:12" x14ac:dyDescent="0.25">
      <c r="A46" s="4">
        <v>0.39583333333333298</v>
      </c>
      <c r="B46" s="5">
        <v>5</v>
      </c>
      <c r="C46" s="5">
        <f t="shared" si="1"/>
        <v>14</v>
      </c>
      <c r="D46" s="5"/>
      <c r="E46" s="5">
        <f t="shared" si="1"/>
        <v>0</v>
      </c>
      <c r="F46" s="5">
        <f t="shared" si="0"/>
        <v>5</v>
      </c>
      <c r="G46" s="5">
        <f t="shared" ref="G46" si="36">SUM(F43:F46)</f>
        <v>14</v>
      </c>
    </row>
    <row r="47" spans="1:12" x14ac:dyDescent="0.25">
      <c r="A47" s="4">
        <v>0.40625</v>
      </c>
      <c r="B47" s="5">
        <v>5</v>
      </c>
      <c r="C47" s="5">
        <f t="shared" si="1"/>
        <v>15</v>
      </c>
      <c r="D47" s="5"/>
      <c r="E47" s="5">
        <f t="shared" si="1"/>
        <v>0</v>
      </c>
      <c r="F47" s="5">
        <f t="shared" si="0"/>
        <v>5</v>
      </c>
      <c r="G47" s="5">
        <f t="shared" ref="G47" si="37">SUM(F44:F47)</f>
        <v>15</v>
      </c>
    </row>
    <row r="48" spans="1:12" x14ac:dyDescent="0.25">
      <c r="A48" s="4">
        <v>0.41666666666666702</v>
      </c>
      <c r="B48" s="5">
        <v>5</v>
      </c>
      <c r="C48" s="5">
        <f t="shared" si="1"/>
        <v>18</v>
      </c>
      <c r="D48" s="5"/>
      <c r="E48" s="5">
        <f t="shared" si="1"/>
        <v>0</v>
      </c>
      <c r="F48" s="5">
        <f t="shared" si="0"/>
        <v>5</v>
      </c>
      <c r="G48" s="5">
        <f t="shared" ref="G48" si="38">SUM(F45:F48)</f>
        <v>18</v>
      </c>
    </row>
    <row r="49" spans="1:7" x14ac:dyDescent="0.25">
      <c r="A49" s="4">
        <v>0.42708333333333298</v>
      </c>
      <c r="B49" s="5">
        <v>3</v>
      </c>
      <c r="C49" s="5">
        <f t="shared" si="1"/>
        <v>18</v>
      </c>
      <c r="D49" s="5"/>
      <c r="E49" s="5">
        <f t="shared" si="1"/>
        <v>0</v>
      </c>
      <c r="F49" s="5">
        <f t="shared" si="0"/>
        <v>3</v>
      </c>
      <c r="G49" s="5">
        <f t="shared" ref="G49" si="39">SUM(F46:F49)</f>
        <v>18</v>
      </c>
    </row>
    <row r="50" spans="1:7" x14ac:dyDescent="0.25">
      <c r="A50" s="4">
        <v>0.4375</v>
      </c>
      <c r="B50" s="5">
        <v>2</v>
      </c>
      <c r="C50" s="5">
        <f t="shared" si="1"/>
        <v>15</v>
      </c>
      <c r="D50" s="5"/>
      <c r="E50" s="5">
        <f t="shared" si="1"/>
        <v>0</v>
      </c>
      <c r="F50" s="5">
        <f t="shared" si="0"/>
        <v>2</v>
      </c>
      <c r="G50" s="5">
        <f t="shared" ref="G50" si="40">SUM(F47:F50)</f>
        <v>15</v>
      </c>
    </row>
    <row r="51" spans="1:7" x14ac:dyDescent="0.25">
      <c r="A51" s="4">
        <v>0.44791666666666702</v>
      </c>
      <c r="B51" s="5">
        <v>1</v>
      </c>
      <c r="C51" s="5">
        <f t="shared" si="1"/>
        <v>11</v>
      </c>
      <c r="D51" s="5"/>
      <c r="E51" s="5">
        <f t="shared" si="1"/>
        <v>0</v>
      </c>
      <c r="F51" s="5">
        <f t="shared" si="0"/>
        <v>1</v>
      </c>
      <c r="G51" s="5">
        <f t="shared" ref="G51" si="41">SUM(F48:F51)</f>
        <v>11</v>
      </c>
    </row>
    <row r="52" spans="1:7" x14ac:dyDescent="0.25">
      <c r="A52" s="4">
        <v>0.45833333333333298</v>
      </c>
      <c r="B52" s="5">
        <v>4</v>
      </c>
      <c r="C52" s="5">
        <f t="shared" si="1"/>
        <v>10</v>
      </c>
      <c r="D52" s="5"/>
      <c r="E52" s="5">
        <f t="shared" si="1"/>
        <v>0</v>
      </c>
      <c r="F52" s="5">
        <f t="shared" si="0"/>
        <v>4</v>
      </c>
      <c r="G52" s="5">
        <f t="shared" ref="G52" si="42">SUM(F49:F52)</f>
        <v>10</v>
      </c>
    </row>
    <row r="53" spans="1:7" x14ac:dyDescent="0.25">
      <c r="A53" s="4">
        <v>0.46875</v>
      </c>
      <c r="B53" s="5">
        <v>4</v>
      </c>
      <c r="C53" s="5">
        <f t="shared" si="1"/>
        <v>11</v>
      </c>
      <c r="D53" s="5"/>
      <c r="E53" s="5">
        <f t="shared" si="1"/>
        <v>0</v>
      </c>
      <c r="F53" s="5">
        <f t="shared" si="0"/>
        <v>4</v>
      </c>
      <c r="G53" s="5">
        <f t="shared" ref="G53" si="43">SUM(F50:F53)</f>
        <v>11</v>
      </c>
    </row>
    <row r="54" spans="1:7" x14ac:dyDescent="0.25">
      <c r="A54" s="4">
        <v>0.47916666666666702</v>
      </c>
      <c r="B54" s="5">
        <v>3</v>
      </c>
      <c r="C54" s="5">
        <f t="shared" si="1"/>
        <v>12</v>
      </c>
      <c r="D54" s="5"/>
      <c r="E54" s="5">
        <f t="shared" si="1"/>
        <v>0</v>
      </c>
      <c r="F54" s="5">
        <f t="shared" si="0"/>
        <v>3</v>
      </c>
      <c r="G54" s="5">
        <f t="shared" ref="G54" si="44">SUM(F51:F54)</f>
        <v>12</v>
      </c>
    </row>
    <row r="55" spans="1:7" x14ac:dyDescent="0.25">
      <c r="A55" s="4">
        <v>0.48958333333333298</v>
      </c>
      <c r="B55" s="5">
        <v>1</v>
      </c>
      <c r="C55" s="5">
        <f t="shared" si="1"/>
        <v>12</v>
      </c>
      <c r="D55" s="5"/>
      <c r="E55" s="5">
        <f t="shared" si="1"/>
        <v>0</v>
      </c>
      <c r="F55" s="5">
        <f t="shared" si="0"/>
        <v>1</v>
      </c>
      <c r="G55" s="5">
        <f t="shared" ref="G55" si="45">SUM(F52:F55)</f>
        <v>12</v>
      </c>
    </row>
    <row r="56" spans="1:7" x14ac:dyDescent="0.25">
      <c r="A56" s="4">
        <v>0.5</v>
      </c>
      <c r="B56" s="5">
        <v>1</v>
      </c>
      <c r="C56" s="5">
        <f t="shared" si="1"/>
        <v>9</v>
      </c>
      <c r="D56" s="5"/>
      <c r="E56" s="5">
        <f t="shared" si="1"/>
        <v>0</v>
      </c>
      <c r="F56" s="5">
        <f t="shared" si="0"/>
        <v>1</v>
      </c>
      <c r="G56" s="5">
        <f t="shared" ref="G56" si="46">SUM(F53:F56)</f>
        <v>9</v>
      </c>
    </row>
    <row r="57" spans="1:7" x14ac:dyDescent="0.25">
      <c r="A57" s="4">
        <v>0.51041666666666696</v>
      </c>
      <c r="B57" s="5">
        <v>3</v>
      </c>
      <c r="C57" s="5">
        <f t="shared" si="1"/>
        <v>8</v>
      </c>
      <c r="D57" s="5"/>
      <c r="E57" s="5">
        <f t="shared" si="1"/>
        <v>0</v>
      </c>
      <c r="F57" s="5">
        <f t="shared" si="0"/>
        <v>3</v>
      </c>
      <c r="G57" s="5">
        <f t="shared" ref="G57" si="47">SUM(F54:F57)</f>
        <v>8</v>
      </c>
    </row>
    <row r="58" spans="1:7" x14ac:dyDescent="0.25">
      <c r="A58" s="4">
        <v>0.52083333333333304</v>
      </c>
      <c r="B58" s="5">
        <v>3</v>
      </c>
      <c r="C58" s="5">
        <f t="shared" si="1"/>
        <v>8</v>
      </c>
      <c r="D58" s="5"/>
      <c r="E58" s="5">
        <f t="shared" si="1"/>
        <v>0</v>
      </c>
      <c r="F58" s="5">
        <f t="shared" si="0"/>
        <v>3</v>
      </c>
      <c r="G58" s="5">
        <f t="shared" ref="G58" si="48">SUM(F55:F58)</f>
        <v>8</v>
      </c>
    </row>
    <row r="59" spans="1:7" x14ac:dyDescent="0.25">
      <c r="A59" s="4">
        <v>0.53125</v>
      </c>
      <c r="B59" s="5">
        <v>0</v>
      </c>
      <c r="C59" s="5">
        <f t="shared" si="1"/>
        <v>7</v>
      </c>
      <c r="D59" s="5"/>
      <c r="E59" s="5">
        <f t="shared" si="1"/>
        <v>0</v>
      </c>
      <c r="F59" s="5">
        <f t="shared" si="0"/>
        <v>0</v>
      </c>
      <c r="G59" s="5">
        <f t="shared" ref="G59" si="49">SUM(F56:F59)</f>
        <v>7</v>
      </c>
    </row>
    <row r="60" spans="1:7" x14ac:dyDescent="0.25">
      <c r="A60" s="4">
        <v>0.54166666666666696</v>
      </c>
      <c r="B60" s="5">
        <v>6</v>
      </c>
      <c r="C60" s="5">
        <f t="shared" si="1"/>
        <v>12</v>
      </c>
      <c r="D60" s="5"/>
      <c r="E60" s="5">
        <f t="shared" si="1"/>
        <v>0</v>
      </c>
      <c r="F60" s="5">
        <f t="shared" si="0"/>
        <v>6</v>
      </c>
      <c r="G60" s="5">
        <f t="shared" ref="G60" si="50">SUM(F57:F60)</f>
        <v>12</v>
      </c>
    </row>
    <row r="61" spans="1:7" x14ac:dyDescent="0.25">
      <c r="A61" s="4">
        <v>0.55208333333333304</v>
      </c>
      <c r="B61" s="5">
        <v>4</v>
      </c>
      <c r="C61" s="5">
        <f t="shared" si="1"/>
        <v>13</v>
      </c>
      <c r="D61" s="5"/>
      <c r="E61" s="5">
        <f t="shared" si="1"/>
        <v>0</v>
      </c>
      <c r="F61" s="5">
        <f t="shared" si="0"/>
        <v>4</v>
      </c>
      <c r="G61" s="5">
        <f t="shared" ref="G61" si="51">SUM(F58:F61)</f>
        <v>13</v>
      </c>
    </row>
    <row r="62" spans="1:7" x14ac:dyDescent="0.25">
      <c r="A62" s="4">
        <v>0.5625</v>
      </c>
      <c r="B62" s="5">
        <v>4</v>
      </c>
      <c r="C62" s="5">
        <f t="shared" si="1"/>
        <v>14</v>
      </c>
      <c r="D62" s="5"/>
      <c r="E62" s="5">
        <f t="shared" si="1"/>
        <v>0</v>
      </c>
      <c r="F62" s="5">
        <f t="shared" si="0"/>
        <v>4</v>
      </c>
      <c r="G62" s="5">
        <f t="shared" ref="G62" si="52">SUM(F59:F62)</f>
        <v>14</v>
      </c>
    </row>
    <row r="63" spans="1:7" x14ac:dyDescent="0.25">
      <c r="A63" s="4">
        <v>0.57291666666666696</v>
      </c>
      <c r="B63" s="5">
        <v>6</v>
      </c>
      <c r="C63" s="5">
        <f t="shared" si="1"/>
        <v>20</v>
      </c>
      <c r="D63" s="5"/>
      <c r="E63" s="5">
        <f t="shared" si="1"/>
        <v>0</v>
      </c>
      <c r="F63" s="5">
        <f t="shared" si="0"/>
        <v>6</v>
      </c>
      <c r="G63" s="5">
        <f t="shared" ref="G63" si="53">SUM(F60:F63)</f>
        <v>20</v>
      </c>
    </row>
    <row r="64" spans="1:7" x14ac:dyDescent="0.25">
      <c r="A64" s="4">
        <v>0.58333333333333304</v>
      </c>
      <c r="B64" s="5">
        <v>4</v>
      </c>
      <c r="C64" s="5">
        <f t="shared" si="1"/>
        <v>18</v>
      </c>
      <c r="D64" s="5"/>
      <c r="E64" s="5">
        <f t="shared" si="1"/>
        <v>0</v>
      </c>
      <c r="F64" s="5">
        <f t="shared" si="0"/>
        <v>4</v>
      </c>
      <c r="G64" s="5">
        <f t="shared" ref="G64" si="54">SUM(F61:F64)</f>
        <v>18</v>
      </c>
    </row>
    <row r="65" spans="1:12" x14ac:dyDescent="0.25">
      <c r="A65" s="4">
        <v>0.59375</v>
      </c>
      <c r="B65" s="5">
        <v>2</v>
      </c>
      <c r="C65" s="5">
        <f t="shared" si="1"/>
        <v>16</v>
      </c>
      <c r="D65" s="5"/>
      <c r="E65" s="5">
        <f t="shared" si="1"/>
        <v>0</v>
      </c>
      <c r="F65" s="5">
        <f t="shared" si="0"/>
        <v>2</v>
      </c>
      <c r="G65" s="5">
        <f t="shared" ref="G65" si="55">SUM(F62:F65)</f>
        <v>16</v>
      </c>
    </row>
    <row r="66" spans="1:12" x14ac:dyDescent="0.25">
      <c r="A66" s="4">
        <v>0.60416666666666696</v>
      </c>
      <c r="B66" s="5">
        <v>1</v>
      </c>
      <c r="C66" s="5">
        <f t="shared" si="1"/>
        <v>13</v>
      </c>
      <c r="D66" s="5"/>
      <c r="E66" s="5">
        <f t="shared" si="1"/>
        <v>0</v>
      </c>
      <c r="F66" s="5">
        <f t="shared" si="0"/>
        <v>1</v>
      </c>
      <c r="G66" s="5">
        <f t="shared" ref="G66" si="56">SUM(F63:F66)</f>
        <v>13</v>
      </c>
    </row>
    <row r="67" spans="1:12" x14ac:dyDescent="0.25">
      <c r="A67" s="4">
        <v>0.61458333333333304</v>
      </c>
      <c r="B67" s="5">
        <v>5</v>
      </c>
      <c r="C67" s="5">
        <f t="shared" si="1"/>
        <v>12</v>
      </c>
      <c r="D67" s="5"/>
      <c r="E67" s="5">
        <f t="shared" si="1"/>
        <v>0</v>
      </c>
      <c r="F67" s="5">
        <f t="shared" si="0"/>
        <v>5</v>
      </c>
      <c r="G67" s="5">
        <f t="shared" ref="G67" si="57">SUM(F64:F67)</f>
        <v>12</v>
      </c>
    </row>
    <row r="68" spans="1:12" x14ac:dyDescent="0.25">
      <c r="A68" s="4">
        <v>0.625</v>
      </c>
      <c r="B68" s="5">
        <v>1</v>
      </c>
      <c r="C68" s="5">
        <f t="shared" si="1"/>
        <v>9</v>
      </c>
      <c r="D68" s="5"/>
      <c r="E68" s="5">
        <f t="shared" si="1"/>
        <v>0</v>
      </c>
      <c r="F68" s="5">
        <f t="shared" si="0"/>
        <v>1</v>
      </c>
      <c r="G68" s="5">
        <f t="shared" ref="G68" si="58">SUM(F65:F68)</f>
        <v>9</v>
      </c>
    </row>
    <row r="69" spans="1:12" x14ac:dyDescent="0.25">
      <c r="A69" s="4">
        <v>0.63541666666666696</v>
      </c>
      <c r="B69" s="5">
        <v>6</v>
      </c>
      <c r="C69" s="5">
        <f t="shared" si="1"/>
        <v>13</v>
      </c>
      <c r="D69" s="5"/>
      <c r="E69" s="5">
        <f t="shared" si="1"/>
        <v>0</v>
      </c>
      <c r="F69" s="5">
        <f t="shared" si="0"/>
        <v>6</v>
      </c>
      <c r="G69" s="5">
        <f t="shared" ref="G69" si="59">SUM(F66:F69)</f>
        <v>13</v>
      </c>
    </row>
    <row r="70" spans="1:12" x14ac:dyDescent="0.25">
      <c r="A70" s="4">
        <v>0.64583333333333304</v>
      </c>
      <c r="B70" s="5">
        <v>7</v>
      </c>
      <c r="C70" s="5">
        <f t="shared" si="1"/>
        <v>19</v>
      </c>
      <c r="D70" s="5"/>
      <c r="E70" s="5">
        <f t="shared" si="1"/>
        <v>0</v>
      </c>
      <c r="F70" s="5">
        <f t="shared" si="0"/>
        <v>7</v>
      </c>
      <c r="G70" s="5">
        <f t="shared" ref="G70" si="60">SUM(F67:F70)</f>
        <v>19</v>
      </c>
    </row>
    <row r="71" spans="1:12" x14ac:dyDescent="0.25">
      <c r="A71" s="4">
        <v>0.65625</v>
      </c>
      <c r="B71" s="5">
        <v>1</v>
      </c>
      <c r="C71" s="5">
        <f t="shared" si="1"/>
        <v>15</v>
      </c>
      <c r="D71" s="5"/>
      <c r="E71" s="5">
        <f t="shared" si="1"/>
        <v>0</v>
      </c>
      <c r="F71" s="5">
        <f t="shared" si="0"/>
        <v>1</v>
      </c>
      <c r="G71" s="5">
        <f t="shared" ref="G71" si="61">SUM(F68:F71)</f>
        <v>15</v>
      </c>
    </row>
    <row r="72" spans="1:12" x14ac:dyDescent="0.25">
      <c r="A72" s="4">
        <v>0.66666666666666696</v>
      </c>
      <c r="B72" s="5">
        <v>4</v>
      </c>
      <c r="C72" s="5">
        <f t="shared" si="1"/>
        <v>18</v>
      </c>
      <c r="D72" s="5"/>
      <c r="E72" s="5">
        <f t="shared" si="1"/>
        <v>0</v>
      </c>
      <c r="F72" s="5">
        <f t="shared" si="0"/>
        <v>4</v>
      </c>
      <c r="G72" s="5">
        <f t="shared" ref="G72" si="62">SUM(F69:F72)</f>
        <v>18</v>
      </c>
    </row>
    <row r="73" spans="1:12" x14ac:dyDescent="0.25">
      <c r="A73" s="4">
        <v>0.67708333333333304</v>
      </c>
      <c r="B73" s="5">
        <v>6</v>
      </c>
      <c r="C73" s="5">
        <f t="shared" si="1"/>
        <v>18</v>
      </c>
      <c r="D73" s="5"/>
      <c r="E73" s="5">
        <f t="shared" si="1"/>
        <v>0</v>
      </c>
      <c r="F73" s="5">
        <f t="shared" ref="F73:F103" si="63">SUM(B73,D73)</f>
        <v>6</v>
      </c>
      <c r="G73" s="5">
        <f t="shared" ref="G73" si="64">SUM(F70:F73)</f>
        <v>18</v>
      </c>
    </row>
    <row r="74" spans="1:12" x14ac:dyDescent="0.25">
      <c r="A74" s="4">
        <v>0.6875</v>
      </c>
      <c r="B74" s="5">
        <v>1</v>
      </c>
      <c r="C74" s="5">
        <f t="shared" si="1"/>
        <v>12</v>
      </c>
      <c r="D74" s="5"/>
      <c r="E74" s="5">
        <f t="shared" si="1"/>
        <v>0</v>
      </c>
      <c r="F74" s="5">
        <f t="shared" si="63"/>
        <v>1</v>
      </c>
      <c r="G74" s="5">
        <f t="shared" ref="G74" si="65">SUM(F71:F74)</f>
        <v>12</v>
      </c>
    </row>
    <row r="75" spans="1:12" x14ac:dyDescent="0.25">
      <c r="A75" s="4">
        <v>0.69791666666666696</v>
      </c>
      <c r="B75" s="5">
        <v>0</v>
      </c>
      <c r="C75" s="5">
        <f t="shared" si="1"/>
        <v>11</v>
      </c>
      <c r="D75" s="5"/>
      <c r="E75" s="5">
        <f t="shared" si="1"/>
        <v>0</v>
      </c>
      <c r="F75" s="5">
        <f t="shared" si="63"/>
        <v>0</v>
      </c>
      <c r="G75" s="5">
        <f t="shared" ref="G75" si="66">SUM(F72:F75)</f>
        <v>11</v>
      </c>
    </row>
    <row r="76" spans="1:12" x14ac:dyDescent="0.25">
      <c r="A76" s="4">
        <v>0.70833333333333304</v>
      </c>
      <c r="B76" s="5">
        <v>3</v>
      </c>
      <c r="C76" s="5">
        <f t="shared" ref="C76:E103" si="67">SUM(B73:B76)</f>
        <v>10</v>
      </c>
      <c r="D76" s="5"/>
      <c r="E76" s="5">
        <f t="shared" si="67"/>
        <v>0</v>
      </c>
      <c r="F76" s="5">
        <f t="shared" si="63"/>
        <v>3</v>
      </c>
      <c r="G76" s="5">
        <f t="shared" ref="G76" si="68">SUM(F73:F76)</f>
        <v>10</v>
      </c>
    </row>
    <row r="77" spans="1:12" x14ac:dyDescent="0.25">
      <c r="A77" s="4">
        <v>0.71875</v>
      </c>
      <c r="B77" s="5">
        <v>4</v>
      </c>
      <c r="C77" s="5">
        <f t="shared" si="67"/>
        <v>8</v>
      </c>
      <c r="D77" s="5"/>
      <c r="E77" s="5">
        <f t="shared" si="67"/>
        <v>0</v>
      </c>
      <c r="F77" s="5">
        <f t="shared" si="63"/>
        <v>4</v>
      </c>
      <c r="G77" s="5">
        <f t="shared" ref="G77" si="69">SUM(F74:F77)</f>
        <v>8</v>
      </c>
    </row>
    <row r="78" spans="1:12" x14ac:dyDescent="0.25">
      <c r="A78" s="4">
        <v>0.72916666666666696</v>
      </c>
      <c r="B78" s="5">
        <v>3</v>
      </c>
      <c r="C78" s="5">
        <f t="shared" si="67"/>
        <v>10</v>
      </c>
      <c r="D78" s="5"/>
      <c r="E78" s="5">
        <f t="shared" si="67"/>
        <v>0</v>
      </c>
      <c r="F78" s="5">
        <f t="shared" si="63"/>
        <v>3</v>
      </c>
      <c r="G78" s="5">
        <f t="shared" ref="G78" si="70">SUM(F75:F78)</f>
        <v>10</v>
      </c>
    </row>
    <row r="79" spans="1:12" x14ac:dyDescent="0.25">
      <c r="A79" s="4">
        <v>0.73958333333333304</v>
      </c>
      <c r="B79" s="5">
        <v>6</v>
      </c>
      <c r="C79" s="5">
        <f t="shared" si="67"/>
        <v>16</v>
      </c>
      <c r="D79" s="5"/>
      <c r="E79" s="5">
        <f t="shared" si="67"/>
        <v>0</v>
      </c>
      <c r="F79" s="5">
        <f t="shared" si="63"/>
        <v>6</v>
      </c>
      <c r="G79" s="5">
        <f t="shared" ref="G79" si="71">SUM(F76:F79)</f>
        <v>16</v>
      </c>
    </row>
    <row r="80" spans="1:12" x14ac:dyDescent="0.25">
      <c r="A80" s="4">
        <v>0.75</v>
      </c>
      <c r="B80" s="5">
        <v>10</v>
      </c>
      <c r="C80" s="5">
        <f t="shared" si="67"/>
        <v>23</v>
      </c>
      <c r="D80" s="5"/>
      <c r="E80" s="5">
        <f t="shared" si="67"/>
        <v>0</v>
      </c>
      <c r="F80" s="5">
        <f t="shared" si="63"/>
        <v>10</v>
      </c>
      <c r="G80" s="5">
        <f t="shared" ref="G80" si="72">SUM(F77:F80)</f>
        <v>23</v>
      </c>
      <c r="L80" t="s">
        <v>47</v>
      </c>
    </row>
    <row r="81" spans="1:7" x14ac:dyDescent="0.25">
      <c r="A81" s="4">
        <v>0.76041666666666696</v>
      </c>
      <c r="B81" s="5">
        <v>7</v>
      </c>
      <c r="C81" s="5">
        <f t="shared" si="67"/>
        <v>26</v>
      </c>
      <c r="D81" s="5"/>
      <c r="E81" s="5">
        <f t="shared" si="67"/>
        <v>0</v>
      </c>
      <c r="F81" s="5">
        <f t="shared" si="63"/>
        <v>7</v>
      </c>
      <c r="G81" s="5">
        <f t="shared" ref="G81" si="73">SUM(F78:F81)</f>
        <v>26</v>
      </c>
    </row>
    <row r="82" spans="1:7" x14ac:dyDescent="0.25">
      <c r="A82" s="4">
        <v>0.77083333333333304</v>
      </c>
      <c r="B82" s="5">
        <v>4</v>
      </c>
      <c r="C82" s="5">
        <f t="shared" si="67"/>
        <v>27</v>
      </c>
      <c r="D82" s="5"/>
      <c r="E82" s="5">
        <f t="shared" si="67"/>
        <v>0</v>
      </c>
      <c r="F82" s="5">
        <f t="shared" si="63"/>
        <v>4</v>
      </c>
      <c r="G82" s="5">
        <f t="shared" ref="G82" si="74">SUM(F79:F82)</f>
        <v>27</v>
      </c>
    </row>
    <row r="83" spans="1:7" x14ac:dyDescent="0.25">
      <c r="A83" s="4">
        <v>0.78125</v>
      </c>
      <c r="B83" s="5">
        <v>2</v>
      </c>
      <c r="C83" s="5">
        <f t="shared" si="67"/>
        <v>23</v>
      </c>
      <c r="D83" s="5"/>
      <c r="E83" s="5">
        <f t="shared" si="67"/>
        <v>0</v>
      </c>
      <c r="F83" s="5">
        <f t="shared" si="63"/>
        <v>2</v>
      </c>
      <c r="G83" s="5">
        <f t="shared" ref="G83" si="75">SUM(F80:F83)</f>
        <v>23</v>
      </c>
    </row>
    <row r="84" spans="1:7" x14ac:dyDescent="0.25">
      <c r="A84" s="4">
        <v>0.79166666666666696</v>
      </c>
      <c r="B84" s="5">
        <v>2</v>
      </c>
      <c r="C84" s="5">
        <f t="shared" si="67"/>
        <v>15</v>
      </c>
      <c r="D84" s="5"/>
      <c r="E84" s="5">
        <f t="shared" si="67"/>
        <v>0</v>
      </c>
      <c r="F84" s="5">
        <f t="shared" si="63"/>
        <v>2</v>
      </c>
      <c r="G84" s="5">
        <f t="shared" ref="G84" si="76">SUM(F81:F84)</f>
        <v>15</v>
      </c>
    </row>
    <row r="85" spans="1:7" x14ac:dyDescent="0.25">
      <c r="A85" s="4">
        <v>0.80208333333333304</v>
      </c>
      <c r="B85" s="5">
        <v>3</v>
      </c>
      <c r="C85" s="5">
        <f t="shared" si="67"/>
        <v>11</v>
      </c>
      <c r="D85" s="5"/>
      <c r="E85" s="5">
        <f t="shared" si="67"/>
        <v>0</v>
      </c>
      <c r="F85" s="5">
        <f t="shared" si="63"/>
        <v>3</v>
      </c>
      <c r="G85" s="5">
        <f t="shared" ref="G85" si="77">SUM(F82:F85)</f>
        <v>11</v>
      </c>
    </row>
    <row r="86" spans="1:7" x14ac:dyDescent="0.25">
      <c r="A86" s="4">
        <v>0.8125</v>
      </c>
      <c r="B86" s="5">
        <v>2</v>
      </c>
      <c r="C86" s="5">
        <f t="shared" si="67"/>
        <v>9</v>
      </c>
      <c r="D86" s="5"/>
      <c r="E86" s="5">
        <f t="shared" si="67"/>
        <v>0</v>
      </c>
      <c r="F86" s="5">
        <f t="shared" si="63"/>
        <v>2</v>
      </c>
      <c r="G86" s="5">
        <f t="shared" ref="G86" si="78">SUM(F83:F86)</f>
        <v>9</v>
      </c>
    </row>
    <row r="87" spans="1:7" x14ac:dyDescent="0.25">
      <c r="A87" s="4">
        <v>0.82291666666666696</v>
      </c>
      <c r="B87" s="5">
        <v>4</v>
      </c>
      <c r="C87" s="5">
        <f t="shared" si="67"/>
        <v>11</v>
      </c>
      <c r="D87" s="5"/>
      <c r="E87" s="5">
        <f t="shared" si="67"/>
        <v>0</v>
      </c>
      <c r="F87" s="5">
        <f t="shared" si="63"/>
        <v>4</v>
      </c>
      <c r="G87" s="5">
        <f t="shared" ref="G87" si="79">SUM(F84:F87)</f>
        <v>11</v>
      </c>
    </row>
    <row r="88" spans="1:7" x14ac:dyDescent="0.25">
      <c r="A88" s="4">
        <v>0.83333333333333304</v>
      </c>
      <c r="B88" s="5">
        <v>4</v>
      </c>
      <c r="C88" s="5">
        <f t="shared" si="67"/>
        <v>13</v>
      </c>
      <c r="D88" s="5"/>
      <c r="E88" s="5">
        <f t="shared" si="67"/>
        <v>0</v>
      </c>
      <c r="F88" s="5">
        <f t="shared" si="63"/>
        <v>4</v>
      </c>
      <c r="G88" s="5">
        <f t="shared" ref="G88" si="80">SUM(F85:F88)</f>
        <v>13</v>
      </c>
    </row>
    <row r="89" spans="1:7" x14ac:dyDescent="0.25">
      <c r="A89" s="4">
        <v>0.84375</v>
      </c>
      <c r="B89" s="5">
        <v>4</v>
      </c>
      <c r="C89" s="5">
        <f t="shared" si="67"/>
        <v>14</v>
      </c>
      <c r="D89" s="5"/>
      <c r="E89" s="5">
        <f t="shared" si="67"/>
        <v>0</v>
      </c>
      <c r="F89" s="5">
        <f t="shared" si="63"/>
        <v>4</v>
      </c>
      <c r="G89" s="5">
        <f t="shared" ref="G89" si="81">SUM(F86:F89)</f>
        <v>14</v>
      </c>
    </row>
    <row r="90" spans="1:7" x14ac:dyDescent="0.25">
      <c r="A90" s="4">
        <v>0.85416666666666696</v>
      </c>
      <c r="B90" s="5">
        <v>1</v>
      </c>
      <c r="C90" s="5">
        <f t="shared" si="67"/>
        <v>13</v>
      </c>
      <c r="D90" s="5"/>
      <c r="E90" s="5">
        <f t="shared" si="67"/>
        <v>0</v>
      </c>
      <c r="F90" s="5">
        <f t="shared" si="63"/>
        <v>1</v>
      </c>
      <c r="G90" s="5">
        <f t="shared" ref="G90" si="82">SUM(F87:F90)</f>
        <v>13</v>
      </c>
    </row>
    <row r="91" spans="1:7" x14ac:dyDescent="0.25">
      <c r="A91" s="4">
        <v>0.86458333333333304</v>
      </c>
      <c r="B91" s="5">
        <v>1</v>
      </c>
      <c r="C91" s="5">
        <f t="shared" si="67"/>
        <v>10</v>
      </c>
      <c r="D91" s="5"/>
      <c r="E91" s="5">
        <f t="shared" si="67"/>
        <v>0</v>
      </c>
      <c r="F91" s="5">
        <f t="shared" si="63"/>
        <v>1</v>
      </c>
      <c r="G91" s="5">
        <f t="shared" ref="G91" si="83">SUM(F88:F91)</f>
        <v>10</v>
      </c>
    </row>
    <row r="92" spans="1:7" x14ac:dyDescent="0.25">
      <c r="A92" s="4">
        <v>0.875</v>
      </c>
      <c r="B92" s="5">
        <v>0</v>
      </c>
      <c r="C92" s="5">
        <f t="shared" si="67"/>
        <v>6</v>
      </c>
      <c r="D92" s="5"/>
      <c r="E92" s="5">
        <f t="shared" si="67"/>
        <v>0</v>
      </c>
      <c r="F92" s="5">
        <f t="shared" si="63"/>
        <v>0</v>
      </c>
      <c r="G92" s="5">
        <f t="shared" ref="G92" si="84">SUM(F89:F92)</f>
        <v>6</v>
      </c>
    </row>
    <row r="93" spans="1:7" x14ac:dyDescent="0.25">
      <c r="A93" s="4">
        <v>0.88541666666666696</v>
      </c>
      <c r="B93" s="5">
        <v>7</v>
      </c>
      <c r="C93" s="5">
        <f t="shared" si="67"/>
        <v>9</v>
      </c>
      <c r="D93" s="5"/>
      <c r="E93" s="5">
        <f t="shared" si="67"/>
        <v>0</v>
      </c>
      <c r="F93" s="5">
        <f t="shared" si="63"/>
        <v>7</v>
      </c>
      <c r="G93" s="5">
        <f t="shared" ref="G93" si="85">SUM(F90:F93)</f>
        <v>9</v>
      </c>
    </row>
    <row r="94" spans="1:7" x14ac:dyDescent="0.25">
      <c r="A94" s="4">
        <v>0.89583333333333304</v>
      </c>
      <c r="B94" s="5">
        <v>4</v>
      </c>
      <c r="C94" s="5">
        <f t="shared" si="67"/>
        <v>12</v>
      </c>
      <c r="D94" s="5"/>
      <c r="E94" s="5">
        <f t="shared" si="67"/>
        <v>0</v>
      </c>
      <c r="F94" s="5">
        <f t="shared" si="63"/>
        <v>4</v>
      </c>
      <c r="G94" s="5">
        <f t="shared" ref="G94" si="86">SUM(F91:F94)</f>
        <v>12</v>
      </c>
    </row>
    <row r="95" spans="1:7" x14ac:dyDescent="0.25">
      <c r="A95" s="4">
        <v>0.90625</v>
      </c>
      <c r="B95" s="5">
        <v>0</v>
      </c>
      <c r="C95" s="5">
        <f t="shared" si="67"/>
        <v>11</v>
      </c>
      <c r="D95" s="5"/>
      <c r="E95" s="5">
        <f t="shared" si="67"/>
        <v>0</v>
      </c>
      <c r="F95" s="5">
        <f t="shared" si="63"/>
        <v>0</v>
      </c>
      <c r="G95" s="5">
        <f t="shared" ref="G95" si="87">SUM(F92:F95)</f>
        <v>11</v>
      </c>
    </row>
    <row r="96" spans="1:7" x14ac:dyDescent="0.25">
      <c r="A96" s="4">
        <v>0.91666666666666696</v>
      </c>
      <c r="B96" s="5">
        <v>2</v>
      </c>
      <c r="C96" s="5">
        <f t="shared" si="67"/>
        <v>13</v>
      </c>
      <c r="D96" s="5"/>
      <c r="E96" s="5">
        <f t="shared" si="67"/>
        <v>0</v>
      </c>
      <c r="F96" s="5">
        <f t="shared" si="63"/>
        <v>2</v>
      </c>
      <c r="G96" s="5">
        <f t="shared" ref="G96" si="88">SUM(F93:F96)</f>
        <v>13</v>
      </c>
    </row>
    <row r="97" spans="1:7" x14ac:dyDescent="0.25">
      <c r="A97" s="4">
        <v>0.92708333333333304</v>
      </c>
      <c r="B97" s="5">
        <v>0</v>
      </c>
      <c r="C97" s="5">
        <f t="shared" si="67"/>
        <v>6</v>
      </c>
      <c r="D97" s="5"/>
      <c r="E97" s="5">
        <f t="shared" si="67"/>
        <v>0</v>
      </c>
      <c r="F97" s="5">
        <f t="shared" si="63"/>
        <v>0</v>
      </c>
      <c r="G97" s="5">
        <f t="shared" ref="G97" si="89">SUM(F94:F97)</f>
        <v>6</v>
      </c>
    </row>
    <row r="98" spans="1:7" x14ac:dyDescent="0.25">
      <c r="A98" s="4">
        <v>0.9375</v>
      </c>
      <c r="B98" s="5">
        <v>1</v>
      </c>
      <c r="C98" s="5">
        <f t="shared" si="67"/>
        <v>3</v>
      </c>
      <c r="D98" s="5"/>
      <c r="E98" s="5">
        <f t="shared" si="67"/>
        <v>0</v>
      </c>
      <c r="F98" s="5">
        <f t="shared" si="63"/>
        <v>1</v>
      </c>
      <c r="G98" s="5">
        <f t="shared" ref="G98" si="90">SUM(F95:F98)</f>
        <v>3</v>
      </c>
    </row>
    <row r="99" spans="1:7" x14ac:dyDescent="0.25">
      <c r="A99" s="4">
        <v>0.94791666666666696</v>
      </c>
      <c r="B99" s="5">
        <v>1</v>
      </c>
      <c r="C99" s="5">
        <f t="shared" si="67"/>
        <v>4</v>
      </c>
      <c r="D99" s="5"/>
      <c r="E99" s="5">
        <f t="shared" si="67"/>
        <v>0</v>
      </c>
      <c r="F99" s="5">
        <f t="shared" si="63"/>
        <v>1</v>
      </c>
      <c r="G99" s="5">
        <f t="shared" ref="G99" si="91">SUM(F96:F99)</f>
        <v>4</v>
      </c>
    </row>
    <row r="100" spans="1:7" x14ac:dyDescent="0.25">
      <c r="A100" s="4">
        <v>0.95833333333333304</v>
      </c>
      <c r="B100" s="5">
        <v>1</v>
      </c>
      <c r="C100" s="5">
        <f t="shared" si="67"/>
        <v>3</v>
      </c>
      <c r="D100" s="5"/>
      <c r="E100" s="5">
        <f t="shared" si="67"/>
        <v>0</v>
      </c>
      <c r="F100" s="5">
        <f t="shared" si="63"/>
        <v>1</v>
      </c>
      <c r="G100" s="5">
        <f t="shared" ref="G100" si="92">SUM(F97:F100)</f>
        <v>3</v>
      </c>
    </row>
    <row r="101" spans="1:7" x14ac:dyDescent="0.25">
      <c r="A101" s="4">
        <v>0.96875</v>
      </c>
      <c r="B101" s="5">
        <v>0</v>
      </c>
      <c r="C101" s="5">
        <f t="shared" si="67"/>
        <v>3</v>
      </c>
      <c r="D101" s="5"/>
      <c r="E101" s="5">
        <f t="shared" si="67"/>
        <v>0</v>
      </c>
      <c r="F101" s="5">
        <f t="shared" si="63"/>
        <v>0</v>
      </c>
      <c r="G101" s="5">
        <f t="shared" ref="G101" si="93">SUM(F98:F101)</f>
        <v>3</v>
      </c>
    </row>
    <row r="102" spans="1:7" x14ac:dyDescent="0.25">
      <c r="A102" s="4">
        <v>0.97916666666666696</v>
      </c>
      <c r="B102" s="5">
        <v>1</v>
      </c>
      <c r="C102" s="5">
        <f t="shared" si="67"/>
        <v>3</v>
      </c>
      <c r="D102" s="5"/>
      <c r="E102" s="5">
        <f t="shared" si="67"/>
        <v>0</v>
      </c>
      <c r="F102" s="5">
        <f t="shared" si="63"/>
        <v>1</v>
      </c>
      <c r="G102" s="5">
        <f t="shared" ref="G102" si="94">SUM(F99:F102)</f>
        <v>3</v>
      </c>
    </row>
    <row r="103" spans="1:7" x14ac:dyDescent="0.25">
      <c r="A103" s="4">
        <v>0.98958333333333304</v>
      </c>
      <c r="B103" s="5">
        <v>1</v>
      </c>
      <c r="C103" s="5">
        <f t="shared" si="67"/>
        <v>3</v>
      </c>
      <c r="D103" s="5"/>
      <c r="E103" s="5">
        <f t="shared" si="67"/>
        <v>0</v>
      </c>
      <c r="F103" s="5">
        <f t="shared" si="63"/>
        <v>1</v>
      </c>
      <c r="G103" s="5">
        <f t="shared" ref="G103" si="95">SUM(F100:F103)</f>
        <v>3</v>
      </c>
    </row>
    <row r="105" spans="1:7" x14ac:dyDescent="0.25">
      <c r="A105" s="2"/>
      <c r="B105" s="2" t="str">
        <f>B6</f>
        <v>NB</v>
      </c>
      <c r="C105" s="2"/>
      <c r="D105" s="2">
        <f t="shared" ref="D105" si="96">D6</f>
        <v>0</v>
      </c>
      <c r="E105" s="2"/>
      <c r="F105" s="2" t="str">
        <f t="shared" ref="F105" si="97">F6</f>
        <v>Total</v>
      </c>
    </row>
    <row r="106" spans="1:7" x14ac:dyDescent="0.25">
      <c r="A106" s="2" t="s">
        <v>7</v>
      </c>
      <c r="B106" s="1">
        <f>SUM(B8:B103)</f>
        <v>243</v>
      </c>
      <c r="C106" s="1"/>
      <c r="D106" s="1">
        <f t="shared" ref="D106" si="98">SUM(D8:D103)</f>
        <v>0</v>
      </c>
      <c r="E106" s="1"/>
      <c r="F106" s="1">
        <f t="shared" ref="F106" si="99">SUM(F8:F103)</f>
        <v>243</v>
      </c>
    </row>
  </sheetData>
  <mergeCells count="3">
    <mergeCell ref="B6:C6"/>
    <mergeCell ref="D6:E6"/>
    <mergeCell ref="F6:G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zoomScale="80" zoomScaleNormal="80" workbookViewId="0">
      <selection activeCell="J43" sqref="J43"/>
    </sheetView>
  </sheetViews>
  <sheetFormatPr defaultRowHeight="15" x14ac:dyDescent="0.25"/>
  <cols>
    <col min="1" max="1" width="15.28515625" style="1" customWidth="1"/>
    <col min="3" max="3" width="10.7109375" bestFit="1" customWidth="1"/>
    <col min="4" max="4" width="9.140625" style="1"/>
  </cols>
  <sheetData>
    <row r="1" spans="1:15" x14ac:dyDescent="0.25">
      <c r="B1" s="6" t="s">
        <v>0</v>
      </c>
      <c r="C1" s="8" t="str">
        <f>Volume!C1</f>
        <v>Pearl Street south Medford Street</v>
      </c>
    </row>
    <row r="2" spans="1:15" x14ac:dyDescent="0.25">
      <c r="B2" s="6" t="s">
        <v>1</v>
      </c>
      <c r="C2" s="27">
        <f>Volume!C2</f>
        <v>42746</v>
      </c>
    </row>
    <row r="3" spans="1:15" x14ac:dyDescent="0.25">
      <c r="B3" s="6" t="s">
        <v>8</v>
      </c>
      <c r="C3" s="8" t="str">
        <f>Volume!C3</f>
        <v>Charlestown, MA</v>
      </c>
      <c r="E3" t="s">
        <v>47</v>
      </c>
    </row>
    <row r="4" spans="1:15" x14ac:dyDescent="0.25">
      <c r="B4" s="6"/>
      <c r="C4" s="7"/>
    </row>
    <row r="5" spans="1:15" x14ac:dyDescent="0.25">
      <c r="A5" s="8" t="s">
        <v>9</v>
      </c>
    </row>
    <row r="6" spans="1:15" x14ac:dyDescent="0.25">
      <c r="A6" s="8" t="str">
        <f>Volume!B6</f>
        <v>NB</v>
      </c>
    </row>
    <row r="7" spans="1:15" x14ac:dyDescent="0.25">
      <c r="A7" s="9"/>
      <c r="B7" s="15">
        <v>1</v>
      </c>
      <c r="C7" s="15">
        <v>6</v>
      </c>
      <c r="D7" s="15">
        <v>11</v>
      </c>
      <c r="E7" s="15">
        <v>16</v>
      </c>
      <c r="F7" s="15">
        <v>21</v>
      </c>
      <c r="G7" s="15">
        <v>26</v>
      </c>
      <c r="H7" s="15">
        <v>31</v>
      </c>
      <c r="I7" s="15">
        <v>36</v>
      </c>
      <c r="J7" s="15">
        <v>41</v>
      </c>
      <c r="K7" s="15">
        <v>46</v>
      </c>
      <c r="L7" s="15">
        <v>51</v>
      </c>
      <c r="M7" s="15">
        <v>56</v>
      </c>
      <c r="N7" s="15">
        <v>61</v>
      </c>
      <c r="O7" s="15"/>
    </row>
    <row r="8" spans="1:15" s="1" customFormat="1" x14ac:dyDescent="0.25">
      <c r="A8" s="13" t="s">
        <v>10</v>
      </c>
      <c r="B8" s="16">
        <v>5</v>
      </c>
      <c r="C8" s="16">
        <v>10</v>
      </c>
      <c r="D8" s="16">
        <v>15</v>
      </c>
      <c r="E8" s="16">
        <v>20</v>
      </c>
      <c r="F8" s="16">
        <v>25</v>
      </c>
      <c r="G8" s="16">
        <v>30</v>
      </c>
      <c r="H8" s="16">
        <v>35</v>
      </c>
      <c r="I8" s="16">
        <v>40</v>
      </c>
      <c r="J8" s="16">
        <v>45</v>
      </c>
      <c r="K8" s="16">
        <v>50</v>
      </c>
      <c r="L8" s="16">
        <v>55</v>
      </c>
      <c r="M8" s="16">
        <v>60</v>
      </c>
      <c r="N8" s="16">
        <v>999</v>
      </c>
      <c r="O8" s="16" t="s">
        <v>6</v>
      </c>
    </row>
    <row r="9" spans="1:15" x14ac:dyDescent="0.25">
      <c r="A9" s="4">
        <v>0</v>
      </c>
      <c r="B9" s="5">
        <v>0</v>
      </c>
      <c r="C9" s="14">
        <v>1</v>
      </c>
      <c r="D9" s="14">
        <v>1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6">
        <f>SUM(B9:N9)</f>
        <v>2</v>
      </c>
    </row>
    <row r="10" spans="1:15" x14ac:dyDescent="0.25">
      <c r="A10" s="4">
        <v>4.1666666666666664E-2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16">
        <f t="shared" ref="O10:O32" si="0">SUM(B10:N10)</f>
        <v>0</v>
      </c>
    </row>
    <row r="11" spans="1:15" x14ac:dyDescent="0.25">
      <c r="A11" s="4">
        <v>8.3333333333333329E-2</v>
      </c>
      <c r="B11" s="5">
        <v>0</v>
      </c>
      <c r="C11" s="5">
        <v>0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16">
        <f t="shared" si="0"/>
        <v>1</v>
      </c>
    </row>
    <row r="12" spans="1:15" x14ac:dyDescent="0.25">
      <c r="A12" s="4">
        <v>0.125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16">
        <f t="shared" si="0"/>
        <v>0</v>
      </c>
    </row>
    <row r="13" spans="1:15" x14ac:dyDescent="0.25">
      <c r="A13" s="4">
        <v>0.16666666666666699</v>
      </c>
      <c r="B13" s="5">
        <v>0</v>
      </c>
      <c r="C13" s="5">
        <v>2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16">
        <f t="shared" si="0"/>
        <v>3</v>
      </c>
    </row>
    <row r="14" spans="1:15" x14ac:dyDescent="0.25">
      <c r="A14" s="4">
        <v>0.20833333333333301</v>
      </c>
      <c r="B14" s="5">
        <v>0</v>
      </c>
      <c r="C14" s="5">
        <v>0</v>
      </c>
      <c r="D14" s="5">
        <v>1</v>
      </c>
      <c r="E14" s="5">
        <v>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16">
        <f t="shared" si="0"/>
        <v>3</v>
      </c>
    </row>
    <row r="15" spans="1:15" x14ac:dyDescent="0.25">
      <c r="A15" s="4">
        <v>0.25</v>
      </c>
      <c r="B15" s="5">
        <v>0</v>
      </c>
      <c r="C15" s="5">
        <v>1</v>
      </c>
      <c r="D15" s="5">
        <v>2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16">
        <f t="shared" si="0"/>
        <v>6</v>
      </c>
    </row>
    <row r="16" spans="1:15" x14ac:dyDescent="0.25">
      <c r="A16" s="4">
        <v>0.29166666666666702</v>
      </c>
      <c r="B16" s="5">
        <v>0</v>
      </c>
      <c r="C16" s="5">
        <v>4</v>
      </c>
      <c r="D16" s="5">
        <v>12</v>
      </c>
      <c r="E16" s="5">
        <v>9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16">
        <f t="shared" si="0"/>
        <v>26</v>
      </c>
    </row>
    <row r="17" spans="1:19" x14ac:dyDescent="0.25">
      <c r="A17" s="4">
        <v>0.33333333333333298</v>
      </c>
      <c r="B17" s="5">
        <v>0</v>
      </c>
      <c r="C17" s="5">
        <v>7</v>
      </c>
      <c r="D17" s="5">
        <v>6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16">
        <f t="shared" si="0"/>
        <v>21</v>
      </c>
    </row>
    <row r="18" spans="1:19" x14ac:dyDescent="0.25">
      <c r="A18" s="4">
        <v>0.375</v>
      </c>
      <c r="B18" s="5">
        <v>1</v>
      </c>
      <c r="C18" s="5">
        <v>1</v>
      </c>
      <c r="D18" s="5">
        <v>7</v>
      </c>
      <c r="E18" s="5">
        <v>5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16">
        <f t="shared" si="0"/>
        <v>15</v>
      </c>
    </row>
    <row r="19" spans="1:19" x14ac:dyDescent="0.25">
      <c r="A19" s="4">
        <v>0.41666666666666702</v>
      </c>
      <c r="B19" s="5">
        <v>0</v>
      </c>
      <c r="C19" s="5">
        <v>6</v>
      </c>
      <c r="D19" s="5">
        <v>3</v>
      </c>
      <c r="E19" s="5">
        <v>1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16">
        <f t="shared" si="0"/>
        <v>11</v>
      </c>
    </row>
    <row r="20" spans="1:19" x14ac:dyDescent="0.25">
      <c r="A20" s="4">
        <v>0.45833333333333298</v>
      </c>
      <c r="B20" s="5">
        <v>0</v>
      </c>
      <c r="C20" s="5">
        <v>1</v>
      </c>
      <c r="D20" s="5">
        <v>1</v>
      </c>
      <c r="E20" s="5">
        <v>7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16">
        <f t="shared" si="0"/>
        <v>12</v>
      </c>
    </row>
    <row r="21" spans="1:19" x14ac:dyDescent="0.25">
      <c r="A21" s="4">
        <v>0.5</v>
      </c>
      <c r="B21" s="5">
        <v>0</v>
      </c>
      <c r="C21" s="5">
        <v>1</v>
      </c>
      <c r="D21" s="5">
        <v>2</v>
      </c>
      <c r="E21" s="5">
        <v>2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16">
        <f t="shared" si="0"/>
        <v>7</v>
      </c>
    </row>
    <row r="22" spans="1:19" x14ac:dyDescent="0.25">
      <c r="A22" s="4">
        <v>0.54166666666666696</v>
      </c>
      <c r="B22" s="5">
        <v>3</v>
      </c>
      <c r="C22" s="5">
        <v>2</v>
      </c>
      <c r="D22" s="5">
        <v>4</v>
      </c>
      <c r="E22" s="5">
        <v>11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16">
        <f t="shared" si="0"/>
        <v>20</v>
      </c>
    </row>
    <row r="23" spans="1:19" x14ac:dyDescent="0.25">
      <c r="A23" s="4">
        <v>0.58333333333333304</v>
      </c>
      <c r="B23" s="5">
        <v>0</v>
      </c>
      <c r="C23" s="5">
        <v>3</v>
      </c>
      <c r="D23" s="5">
        <v>1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16">
        <f t="shared" si="0"/>
        <v>12</v>
      </c>
    </row>
    <row r="24" spans="1:19" x14ac:dyDescent="0.25">
      <c r="A24" s="4">
        <v>0.625</v>
      </c>
      <c r="B24" s="5">
        <v>0</v>
      </c>
      <c r="C24" s="5">
        <v>1</v>
      </c>
      <c r="D24" s="5">
        <v>4</v>
      </c>
      <c r="E24" s="5">
        <v>9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16">
        <f t="shared" si="0"/>
        <v>15</v>
      </c>
    </row>
    <row r="25" spans="1:19" x14ac:dyDescent="0.25">
      <c r="A25" s="4">
        <v>0.66666666666666696</v>
      </c>
      <c r="B25" s="5">
        <v>1</v>
      </c>
      <c r="C25" s="5">
        <v>4</v>
      </c>
      <c r="D25" s="5">
        <v>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16">
        <f t="shared" si="0"/>
        <v>11</v>
      </c>
    </row>
    <row r="26" spans="1:19" x14ac:dyDescent="0.25">
      <c r="A26" s="4">
        <v>0.70833333333333304</v>
      </c>
      <c r="B26" s="5">
        <v>0</v>
      </c>
      <c r="C26" s="5">
        <v>3</v>
      </c>
      <c r="D26" s="5">
        <v>9</v>
      </c>
      <c r="E26" s="5">
        <v>2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16">
        <f t="shared" si="0"/>
        <v>16</v>
      </c>
    </row>
    <row r="27" spans="1:19" x14ac:dyDescent="0.25">
      <c r="A27" s="4">
        <v>0.75</v>
      </c>
      <c r="B27" s="5">
        <v>1</v>
      </c>
      <c r="C27" s="5">
        <v>5</v>
      </c>
      <c r="D27" s="5">
        <v>11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16">
        <f t="shared" si="0"/>
        <v>23</v>
      </c>
      <c r="Q27" t="s">
        <v>47</v>
      </c>
    </row>
    <row r="28" spans="1:19" x14ac:dyDescent="0.25">
      <c r="A28" s="4">
        <v>0.79166666666666696</v>
      </c>
      <c r="B28" s="5">
        <v>0</v>
      </c>
      <c r="C28" s="5">
        <v>4</v>
      </c>
      <c r="D28" s="5">
        <v>4</v>
      </c>
      <c r="E28" s="5">
        <v>2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16">
        <f t="shared" si="0"/>
        <v>11</v>
      </c>
      <c r="S28" t="s">
        <v>47</v>
      </c>
    </row>
    <row r="29" spans="1:19" x14ac:dyDescent="0.25">
      <c r="A29" s="4">
        <v>0.83333333333333304</v>
      </c>
      <c r="B29" s="5">
        <v>0</v>
      </c>
      <c r="C29" s="5">
        <v>2</v>
      </c>
      <c r="D29" s="5">
        <v>7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16">
        <f t="shared" si="0"/>
        <v>10</v>
      </c>
    </row>
    <row r="30" spans="1:19" x14ac:dyDescent="0.25">
      <c r="A30" s="4">
        <v>0.875</v>
      </c>
      <c r="B30" s="5">
        <v>0</v>
      </c>
      <c r="C30" s="5">
        <v>2</v>
      </c>
      <c r="D30" s="5">
        <v>8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16">
        <f t="shared" si="0"/>
        <v>11</v>
      </c>
    </row>
    <row r="31" spans="1:19" x14ac:dyDescent="0.25">
      <c r="A31" s="4">
        <v>0.91666666666666696</v>
      </c>
      <c r="B31" s="5">
        <v>0</v>
      </c>
      <c r="C31" s="5">
        <v>0</v>
      </c>
      <c r="D31" s="5">
        <v>2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16">
        <f t="shared" si="0"/>
        <v>4</v>
      </c>
    </row>
    <row r="32" spans="1:19" x14ac:dyDescent="0.25">
      <c r="A32" s="4">
        <v>0.95833333333333304</v>
      </c>
      <c r="B32" s="5">
        <v>0</v>
      </c>
      <c r="C32" s="5">
        <v>1</v>
      </c>
      <c r="D32" s="5">
        <v>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16">
        <f t="shared" si="0"/>
        <v>3</v>
      </c>
    </row>
    <row r="33" spans="1:18" x14ac:dyDescent="0.25">
      <c r="A33" s="10"/>
      <c r="B33" s="11"/>
      <c r="C33" s="11"/>
      <c r="D33" s="11"/>
      <c r="E33" s="11"/>
      <c r="F33" s="11"/>
      <c r="G33" s="11"/>
    </row>
    <row r="34" spans="1:18" x14ac:dyDescent="0.25">
      <c r="A34" s="4" t="s">
        <v>6</v>
      </c>
      <c r="B34" s="3">
        <f>SUM(B9:B32)</f>
        <v>6</v>
      </c>
      <c r="C34" s="3">
        <f t="shared" ref="C34:O34" si="1">SUM(C9:C32)</f>
        <v>51</v>
      </c>
      <c r="D34" s="3">
        <f t="shared" si="1"/>
        <v>92</v>
      </c>
      <c r="E34" s="3">
        <f t="shared" si="1"/>
        <v>82</v>
      </c>
      <c r="F34" s="3">
        <f t="shared" si="1"/>
        <v>11</v>
      </c>
      <c r="G34" s="3">
        <f t="shared" si="1"/>
        <v>1</v>
      </c>
      <c r="H34" s="3">
        <f t="shared" si="1"/>
        <v>0</v>
      </c>
      <c r="I34" s="3">
        <f t="shared" si="1"/>
        <v>0</v>
      </c>
      <c r="J34" s="3">
        <f t="shared" si="1"/>
        <v>0</v>
      </c>
      <c r="K34" s="3">
        <f t="shared" si="1"/>
        <v>0</v>
      </c>
      <c r="L34" s="3">
        <f t="shared" si="1"/>
        <v>0</v>
      </c>
      <c r="M34" s="3">
        <f t="shared" si="1"/>
        <v>0</v>
      </c>
      <c r="N34" s="3">
        <f t="shared" si="1"/>
        <v>0</v>
      </c>
      <c r="O34" s="3">
        <f t="shared" si="1"/>
        <v>243</v>
      </c>
      <c r="R34" t="s">
        <v>47</v>
      </c>
    </row>
    <row r="35" spans="1:18" x14ac:dyDescent="0.25">
      <c r="A35" s="4" t="s">
        <v>11</v>
      </c>
      <c r="B35" s="17">
        <f>SUM(B34)/$O$34</f>
        <v>2.4691358024691357E-2</v>
      </c>
      <c r="C35" s="17">
        <f t="shared" ref="C35:N35" si="2">SUM(C34)/$O$34</f>
        <v>0.20987654320987653</v>
      </c>
      <c r="D35" s="17">
        <f t="shared" si="2"/>
        <v>0.37860082304526749</v>
      </c>
      <c r="E35" s="17">
        <f t="shared" si="2"/>
        <v>0.33744855967078191</v>
      </c>
      <c r="F35" s="17">
        <f t="shared" si="2"/>
        <v>4.5267489711934158E-2</v>
      </c>
      <c r="G35" s="17">
        <f t="shared" si="2"/>
        <v>4.11522633744856E-3</v>
      </c>
      <c r="H35" s="17">
        <f t="shared" si="2"/>
        <v>0</v>
      </c>
      <c r="I35" s="17">
        <f t="shared" si="2"/>
        <v>0</v>
      </c>
      <c r="J35" s="17">
        <f t="shared" si="2"/>
        <v>0</v>
      </c>
      <c r="K35" s="17">
        <f t="shared" si="2"/>
        <v>0</v>
      </c>
      <c r="L35" s="17">
        <f t="shared" si="2"/>
        <v>0</v>
      </c>
      <c r="M35" s="17">
        <f t="shared" si="2"/>
        <v>0</v>
      </c>
      <c r="N35" s="17">
        <f t="shared" si="2"/>
        <v>0</v>
      </c>
      <c r="O35" s="18"/>
    </row>
    <row r="36" spans="1:18" x14ac:dyDescent="0.25">
      <c r="A36" s="10"/>
      <c r="B36" s="11"/>
      <c r="C36" s="11"/>
      <c r="D36" s="11"/>
      <c r="E36" s="11"/>
      <c r="F36" s="11"/>
      <c r="G36" s="11"/>
    </row>
    <row r="37" spans="1:18" x14ac:dyDescent="0.25">
      <c r="A37" s="10"/>
      <c r="B37" s="11"/>
      <c r="C37" s="11"/>
      <c r="D37" s="19" t="s">
        <v>19</v>
      </c>
      <c r="E37" s="24">
        <v>7</v>
      </c>
      <c r="F37" s="11"/>
      <c r="G37" s="11"/>
    </row>
    <row r="38" spans="1:18" x14ac:dyDescent="0.25">
      <c r="A38" s="10"/>
      <c r="B38" s="11"/>
      <c r="C38" s="11"/>
      <c r="D38" s="19" t="s">
        <v>18</v>
      </c>
      <c r="E38" s="24">
        <v>13</v>
      </c>
      <c r="F38" s="11"/>
      <c r="G38" s="11"/>
    </row>
    <row r="39" spans="1:18" x14ac:dyDescent="0.25">
      <c r="A39" s="10"/>
      <c r="B39" s="11"/>
      <c r="C39" s="11"/>
      <c r="D39" s="19" t="s">
        <v>17</v>
      </c>
      <c r="E39" s="24">
        <v>18</v>
      </c>
      <c r="F39" s="11"/>
      <c r="G39" s="11"/>
    </row>
    <row r="40" spans="1:18" x14ac:dyDescent="0.25">
      <c r="A40" s="10"/>
      <c r="B40" s="11"/>
      <c r="C40" s="11"/>
      <c r="D40" s="19" t="s">
        <v>16</v>
      </c>
      <c r="E40" s="24">
        <v>19</v>
      </c>
      <c r="F40" s="11"/>
      <c r="G40" s="11"/>
    </row>
    <row r="41" spans="1:18" x14ac:dyDescent="0.25">
      <c r="A41" s="10"/>
      <c r="B41" s="11"/>
      <c r="C41" s="11"/>
      <c r="D41" s="19"/>
      <c r="E41" s="24"/>
      <c r="F41" s="11"/>
      <c r="G41" s="11"/>
    </row>
    <row r="42" spans="1:18" x14ac:dyDescent="0.25">
      <c r="A42" s="10"/>
      <c r="B42" s="11"/>
      <c r="C42" s="11"/>
      <c r="D42" s="19" t="s">
        <v>15</v>
      </c>
      <c r="E42" s="24">
        <v>14</v>
      </c>
      <c r="F42" s="11"/>
      <c r="G42" s="11"/>
    </row>
    <row r="43" spans="1:18" x14ac:dyDescent="0.25">
      <c r="A43" s="10"/>
      <c r="B43" s="11"/>
      <c r="C43" s="11"/>
      <c r="D43" s="19"/>
      <c r="E43" s="24"/>
      <c r="F43" s="11"/>
      <c r="G43" s="11"/>
    </row>
    <row r="44" spans="1:18" x14ac:dyDescent="0.25">
      <c r="A44" s="10"/>
      <c r="B44" s="11"/>
      <c r="C44" s="11"/>
      <c r="D44" s="19" t="s">
        <v>14</v>
      </c>
      <c r="E44" s="26" t="s">
        <v>51</v>
      </c>
      <c r="F44" s="23" t="s">
        <v>48</v>
      </c>
      <c r="G44" s="11"/>
    </row>
    <row r="45" spans="1:18" x14ac:dyDescent="0.25">
      <c r="A45" s="10"/>
      <c r="B45" s="11"/>
      <c r="C45" s="11"/>
      <c r="D45" s="19" t="s">
        <v>13</v>
      </c>
      <c r="E45" s="25">
        <v>174</v>
      </c>
      <c r="F45" s="11"/>
      <c r="G45" s="11"/>
    </row>
    <row r="46" spans="1:18" x14ac:dyDescent="0.25">
      <c r="A46" s="10"/>
      <c r="B46" s="11"/>
      <c r="C46" s="11"/>
      <c r="D46" s="19" t="s">
        <v>25</v>
      </c>
      <c r="E46" s="21">
        <f>SUM(E45/O34)</f>
        <v>0.71604938271604934</v>
      </c>
      <c r="F46" s="11"/>
      <c r="G46" s="11"/>
    </row>
    <row r="47" spans="1:18" x14ac:dyDescent="0.25">
      <c r="A47" s="10"/>
      <c r="B47" s="11"/>
      <c r="C47" s="11"/>
      <c r="D47" s="19" t="s">
        <v>12</v>
      </c>
      <c r="E47" s="19">
        <f>SUM(G34:N34)</f>
        <v>1</v>
      </c>
      <c r="F47" s="11"/>
      <c r="G47" s="11"/>
    </row>
    <row r="48" spans="1:18" x14ac:dyDescent="0.25">
      <c r="A48" s="10"/>
      <c r="B48" s="11"/>
      <c r="C48" s="11"/>
      <c r="D48" s="19" t="s">
        <v>20</v>
      </c>
      <c r="E48" s="21">
        <f>SUM(E47)/$O$34</f>
        <v>4.11522633744856E-3</v>
      </c>
      <c r="F48" s="11"/>
      <c r="G48" s="11"/>
    </row>
    <row r="49" spans="1:7" x14ac:dyDescent="0.25">
      <c r="A49" s="10"/>
      <c r="B49" s="11"/>
      <c r="C49" s="11"/>
      <c r="D49" s="19" t="s">
        <v>21</v>
      </c>
      <c r="E49" s="19">
        <f>SUM(H34:N34)</f>
        <v>0</v>
      </c>
      <c r="F49" s="11"/>
      <c r="G49" s="11"/>
    </row>
    <row r="50" spans="1:7" x14ac:dyDescent="0.25">
      <c r="A50" s="10"/>
      <c r="B50" s="11"/>
      <c r="C50" s="11"/>
      <c r="D50" s="19" t="s">
        <v>22</v>
      </c>
      <c r="E50" s="21">
        <f>SUM(E49)/$O$34</f>
        <v>0</v>
      </c>
      <c r="F50" s="11"/>
      <c r="G50" s="11"/>
    </row>
    <row r="51" spans="1:7" x14ac:dyDescent="0.25">
      <c r="A51" s="10"/>
      <c r="B51" s="11"/>
      <c r="C51" s="11"/>
      <c r="D51" s="19" t="s">
        <v>23</v>
      </c>
      <c r="E51" s="19">
        <f>SUM(I34:N34)</f>
        <v>0</v>
      </c>
      <c r="F51" s="11"/>
      <c r="G51" s="11"/>
    </row>
    <row r="52" spans="1:7" x14ac:dyDescent="0.25">
      <c r="A52" s="10"/>
      <c r="B52" s="11"/>
      <c r="C52" s="11"/>
      <c r="D52" s="19" t="s">
        <v>24</v>
      </c>
      <c r="E52" s="21">
        <f>SUM(E51)/$O$34</f>
        <v>0</v>
      </c>
      <c r="F52" s="11"/>
      <c r="G52" s="11"/>
    </row>
    <row r="53" spans="1:7" x14ac:dyDescent="0.25">
      <c r="A53" s="10"/>
      <c r="B53" s="11"/>
      <c r="C53" s="11"/>
      <c r="D53" s="11"/>
      <c r="E53" s="11"/>
      <c r="F53" s="11"/>
      <c r="G53" s="11"/>
    </row>
    <row r="54" spans="1:7" x14ac:dyDescent="0.25">
      <c r="A54" s="10"/>
      <c r="B54" s="11"/>
      <c r="C54" s="11"/>
      <c r="D54" s="11"/>
      <c r="E54" s="11"/>
      <c r="F54" s="11"/>
      <c r="G54" s="11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1"/>
      <c r="C59" s="11"/>
      <c r="D59" s="11"/>
      <c r="E59" s="11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x14ac:dyDescent="0.25">
      <c r="A69" s="10"/>
      <c r="B69" s="11"/>
      <c r="C69" s="11"/>
      <c r="D69" s="11"/>
      <c r="E69" s="11"/>
      <c r="F69" s="11"/>
      <c r="G69" s="11"/>
    </row>
    <row r="70" spans="1:7" x14ac:dyDescent="0.25">
      <c r="A70" s="10"/>
      <c r="B70" s="11"/>
      <c r="C70" s="11"/>
      <c r="D70" s="11"/>
      <c r="E70" s="11"/>
      <c r="F70" s="11"/>
      <c r="G70" s="11"/>
    </row>
    <row r="71" spans="1:7" x14ac:dyDescent="0.25">
      <c r="A71" s="10"/>
      <c r="B71" s="11"/>
      <c r="C71" s="11"/>
      <c r="D71" s="11"/>
      <c r="E71" s="11"/>
      <c r="F71" s="11"/>
      <c r="G71" s="11"/>
    </row>
    <row r="72" spans="1:7" x14ac:dyDescent="0.25">
      <c r="A72" s="10"/>
      <c r="B72" s="11"/>
      <c r="C72" s="11"/>
      <c r="D72" s="11"/>
      <c r="E72" s="11"/>
      <c r="F72" s="11"/>
      <c r="G72" s="11"/>
    </row>
    <row r="73" spans="1:7" x14ac:dyDescent="0.25">
      <c r="A73" s="10"/>
      <c r="B73" s="11"/>
      <c r="C73" s="11"/>
      <c r="D73" s="11"/>
      <c r="E73" s="11"/>
      <c r="F73" s="11"/>
      <c r="G73" s="11"/>
    </row>
    <row r="74" spans="1:7" x14ac:dyDescent="0.25">
      <c r="A74" s="10"/>
      <c r="B74" s="11"/>
      <c r="C74" s="11"/>
      <c r="D74" s="11"/>
      <c r="E74" s="11"/>
      <c r="F74" s="11"/>
      <c r="G74" s="11"/>
    </row>
    <row r="75" spans="1:7" x14ac:dyDescent="0.25">
      <c r="A75" s="10"/>
      <c r="B75" s="11"/>
      <c r="C75" s="11"/>
      <c r="D75" s="11"/>
      <c r="E75" s="11"/>
      <c r="F75" s="11"/>
      <c r="G75" s="11"/>
    </row>
    <row r="76" spans="1:7" x14ac:dyDescent="0.25">
      <c r="A76" s="10"/>
      <c r="B76" s="11"/>
      <c r="C76" s="11"/>
      <c r="D76" s="11"/>
      <c r="E76" s="11"/>
      <c r="F76" s="11"/>
      <c r="G76" s="11"/>
    </row>
    <row r="77" spans="1:7" x14ac:dyDescent="0.25">
      <c r="A77" s="10"/>
      <c r="B77" s="11"/>
      <c r="C77" s="11"/>
      <c r="D77" s="11"/>
      <c r="E77" s="11"/>
      <c r="F77" s="11"/>
      <c r="G77" s="11"/>
    </row>
    <row r="78" spans="1:7" x14ac:dyDescent="0.25">
      <c r="A78" s="10"/>
      <c r="B78" s="11"/>
      <c r="C78" s="11"/>
      <c r="D78" s="11"/>
      <c r="E78" s="11"/>
      <c r="F78" s="11"/>
      <c r="G78" s="11"/>
    </row>
    <row r="79" spans="1:7" x14ac:dyDescent="0.25">
      <c r="A79" s="10"/>
      <c r="B79" s="11"/>
      <c r="C79" s="11"/>
      <c r="D79" s="11"/>
      <c r="E79" s="11"/>
      <c r="F79" s="11"/>
      <c r="G79" s="11"/>
    </row>
    <row r="80" spans="1:7" x14ac:dyDescent="0.25">
      <c r="A80" s="10"/>
      <c r="B80" s="11"/>
      <c r="C80" s="11"/>
      <c r="D80" s="11"/>
      <c r="E80" s="11"/>
      <c r="F80" s="11"/>
      <c r="G80" s="11"/>
    </row>
    <row r="81" spans="1:7" x14ac:dyDescent="0.25">
      <c r="A81" s="10"/>
      <c r="B81" s="11"/>
      <c r="C81" s="11"/>
      <c r="D81" s="11"/>
      <c r="E81" s="11"/>
      <c r="F81" s="11"/>
      <c r="G81" s="11"/>
    </row>
    <row r="82" spans="1:7" x14ac:dyDescent="0.25">
      <c r="A82" s="10"/>
      <c r="B82" s="11"/>
      <c r="C82" s="11"/>
      <c r="D82" s="11"/>
      <c r="E82" s="11"/>
      <c r="F82" s="11"/>
      <c r="G82" s="11"/>
    </row>
    <row r="83" spans="1:7" x14ac:dyDescent="0.25">
      <c r="A83" s="10"/>
      <c r="B83" s="11"/>
      <c r="C83" s="11"/>
      <c r="D83" s="11"/>
      <c r="E83" s="11"/>
      <c r="F83" s="11"/>
      <c r="G83" s="11"/>
    </row>
    <row r="84" spans="1:7" x14ac:dyDescent="0.25">
      <c r="A84" s="10"/>
      <c r="B84" s="11"/>
      <c r="C84" s="11"/>
      <c r="D84" s="11"/>
      <c r="E84" s="11"/>
      <c r="F84" s="11"/>
      <c r="G84" s="11"/>
    </row>
    <row r="85" spans="1:7" x14ac:dyDescent="0.25">
      <c r="A85" s="10"/>
      <c r="B85" s="11"/>
      <c r="C85" s="11"/>
      <c r="D85" s="11"/>
      <c r="E85" s="11"/>
      <c r="F85" s="11"/>
      <c r="G85" s="11"/>
    </row>
    <row r="86" spans="1:7" x14ac:dyDescent="0.25">
      <c r="A86" s="10"/>
      <c r="B86" s="11"/>
      <c r="C86" s="11"/>
      <c r="D86" s="11"/>
      <c r="E86" s="11"/>
      <c r="F86" s="11"/>
      <c r="G86" s="11"/>
    </row>
    <row r="87" spans="1:7" x14ac:dyDescent="0.25">
      <c r="A87" s="10"/>
      <c r="B87" s="11"/>
      <c r="C87" s="11"/>
      <c r="D87" s="11"/>
      <c r="E87" s="11"/>
      <c r="F87" s="11"/>
      <c r="G87" s="11"/>
    </row>
    <row r="88" spans="1:7" x14ac:dyDescent="0.25">
      <c r="A88" s="10"/>
      <c r="B88" s="11"/>
      <c r="C88" s="11"/>
      <c r="D88" s="11"/>
      <c r="E88" s="11"/>
      <c r="F88" s="11"/>
      <c r="G88" s="11"/>
    </row>
    <row r="89" spans="1:7" x14ac:dyDescent="0.25">
      <c r="A89" s="10"/>
      <c r="B89" s="11"/>
      <c r="C89" s="11"/>
      <c r="D89" s="11"/>
      <c r="E89" s="11"/>
      <c r="F89" s="11"/>
      <c r="G89" s="11"/>
    </row>
    <row r="90" spans="1:7" x14ac:dyDescent="0.25">
      <c r="A90" s="10"/>
      <c r="B90" s="11"/>
      <c r="C90" s="11"/>
      <c r="D90" s="11"/>
      <c r="E90" s="11"/>
      <c r="F90" s="11"/>
      <c r="G90" s="11"/>
    </row>
    <row r="91" spans="1:7" x14ac:dyDescent="0.25">
      <c r="A91" s="10"/>
      <c r="B91" s="11"/>
      <c r="C91" s="11"/>
      <c r="D91" s="11"/>
      <c r="E91" s="11"/>
      <c r="F91" s="11"/>
      <c r="G91" s="11"/>
    </row>
    <row r="92" spans="1:7" x14ac:dyDescent="0.25">
      <c r="A92" s="10"/>
      <c r="B92" s="11"/>
      <c r="C92" s="11"/>
      <c r="D92" s="11"/>
      <c r="E92" s="11"/>
      <c r="F92" s="11"/>
      <c r="G92" s="11"/>
    </row>
    <row r="93" spans="1:7" x14ac:dyDescent="0.25">
      <c r="A93" s="10"/>
      <c r="B93" s="11"/>
      <c r="C93" s="11"/>
      <c r="D93" s="11"/>
      <c r="E93" s="11"/>
      <c r="F93" s="11"/>
      <c r="G93" s="11"/>
    </row>
    <row r="94" spans="1:7" x14ac:dyDescent="0.25">
      <c r="A94" s="10"/>
      <c r="B94" s="11"/>
      <c r="C94" s="11"/>
      <c r="D94" s="11"/>
      <c r="E94" s="11"/>
      <c r="F94" s="11"/>
      <c r="G94" s="11"/>
    </row>
    <row r="95" spans="1:7" x14ac:dyDescent="0.25">
      <c r="A95" s="10"/>
      <c r="B95" s="11"/>
      <c r="C95" s="11"/>
      <c r="D95" s="11"/>
      <c r="E95" s="11"/>
      <c r="F95" s="11"/>
      <c r="G95" s="11"/>
    </row>
    <row r="96" spans="1:7" x14ac:dyDescent="0.25">
      <c r="A96" s="10"/>
      <c r="B96" s="11"/>
      <c r="C96" s="11"/>
      <c r="D96" s="11"/>
      <c r="E96" s="11"/>
      <c r="F96" s="11"/>
      <c r="G96" s="11"/>
    </row>
    <row r="97" spans="1:7" x14ac:dyDescent="0.25">
      <c r="A97" s="10"/>
      <c r="B97" s="11"/>
      <c r="C97" s="11"/>
      <c r="D97" s="11"/>
      <c r="E97" s="11"/>
      <c r="F97" s="11"/>
      <c r="G97" s="11"/>
    </row>
    <row r="98" spans="1:7" x14ac:dyDescent="0.25">
      <c r="A98" s="10"/>
      <c r="B98" s="11"/>
      <c r="C98" s="11"/>
      <c r="D98" s="11"/>
      <c r="E98" s="11"/>
      <c r="F98" s="11"/>
      <c r="G98" s="11"/>
    </row>
    <row r="99" spans="1:7" x14ac:dyDescent="0.25">
      <c r="A99" s="10"/>
      <c r="B99" s="11"/>
      <c r="C99" s="11"/>
      <c r="D99" s="11"/>
      <c r="E99" s="11"/>
      <c r="F99" s="11"/>
      <c r="G99" s="11"/>
    </row>
    <row r="100" spans="1:7" x14ac:dyDescent="0.25">
      <c r="A100" s="10"/>
      <c r="B100" s="11"/>
      <c r="C100" s="11"/>
      <c r="D100" s="11"/>
      <c r="E100" s="11"/>
      <c r="F100" s="11"/>
      <c r="G100" s="11"/>
    </row>
    <row r="101" spans="1:7" x14ac:dyDescent="0.25">
      <c r="A101" s="10"/>
      <c r="B101" s="11"/>
      <c r="C101" s="11"/>
      <c r="D101" s="11"/>
      <c r="E101" s="11"/>
      <c r="F101" s="11"/>
      <c r="G101" s="11"/>
    </row>
    <row r="102" spans="1:7" x14ac:dyDescent="0.25">
      <c r="A102" s="10"/>
      <c r="B102" s="11"/>
      <c r="C102" s="11"/>
      <c r="D102" s="11"/>
      <c r="E102" s="11"/>
      <c r="F102" s="11"/>
      <c r="G102" s="11"/>
    </row>
    <row r="103" spans="1:7" x14ac:dyDescent="0.25">
      <c r="A103" s="10"/>
      <c r="B103" s="11"/>
      <c r="C103" s="11"/>
      <c r="D103" s="11"/>
      <c r="E103" s="11"/>
      <c r="F103" s="11"/>
      <c r="G103" s="11"/>
    </row>
    <row r="104" spans="1:7" x14ac:dyDescent="0.25">
      <c r="A104" s="10"/>
      <c r="B104" s="11"/>
      <c r="C104" s="11"/>
      <c r="D104" s="11"/>
      <c r="E104" s="11"/>
      <c r="F104" s="11"/>
      <c r="G104" s="11"/>
    </row>
    <row r="105" spans="1:7" x14ac:dyDescent="0.25">
      <c r="A105" s="10"/>
      <c r="B105" s="11"/>
      <c r="C105" s="11"/>
      <c r="D105" s="11"/>
      <c r="E105" s="11"/>
      <c r="F105" s="11"/>
      <c r="G105" s="11"/>
    </row>
    <row r="106" spans="1:7" x14ac:dyDescent="0.25">
      <c r="A106" s="11"/>
      <c r="B106" s="12"/>
      <c r="C106" s="12"/>
      <c r="D106" s="11"/>
      <c r="E106" s="12"/>
      <c r="F106" s="12"/>
      <c r="G106" s="12"/>
    </row>
    <row r="107" spans="1:7" x14ac:dyDescent="0.25">
      <c r="A107" s="13"/>
      <c r="B107" s="13"/>
      <c r="C107" s="13"/>
      <c r="D107" s="13"/>
      <c r="E107" s="13"/>
      <c r="F107" s="13"/>
      <c r="G107" s="12"/>
    </row>
    <row r="108" spans="1:7" x14ac:dyDescent="0.25">
      <c r="A108" s="13"/>
      <c r="B108" s="11"/>
      <c r="C108" s="11"/>
      <c r="D108" s="11"/>
      <c r="E108" s="11"/>
      <c r="F108" s="11"/>
      <c r="G108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workbookViewId="0">
      <selection activeCell="B9" sqref="B9:N32"/>
    </sheetView>
  </sheetViews>
  <sheetFormatPr defaultRowHeight="15" x14ac:dyDescent="0.25"/>
  <cols>
    <col min="1" max="1" width="15.28515625" style="1" customWidth="1"/>
    <col min="3" max="3" width="10.7109375" bestFit="1" customWidth="1"/>
    <col min="4" max="4" width="9.140625" style="1"/>
    <col min="5" max="5" width="9.140625" customWidth="1"/>
  </cols>
  <sheetData>
    <row r="1" spans="1:15" x14ac:dyDescent="0.25">
      <c r="B1" s="6" t="s">
        <v>0</v>
      </c>
      <c r="C1" s="8" t="str">
        <f>Volume!C1</f>
        <v>Pearl Street south Medford Street</v>
      </c>
    </row>
    <row r="2" spans="1:15" x14ac:dyDescent="0.25">
      <c r="B2" s="6" t="s">
        <v>1</v>
      </c>
      <c r="C2" s="27">
        <f>Volume!C2</f>
        <v>42746</v>
      </c>
    </row>
    <row r="3" spans="1:15" x14ac:dyDescent="0.25">
      <c r="B3" s="6" t="s">
        <v>8</v>
      </c>
      <c r="C3" s="8" t="str">
        <f>Volume!C3</f>
        <v>Charlestown, MA</v>
      </c>
      <c r="E3" t="s">
        <v>47</v>
      </c>
    </row>
    <row r="4" spans="1:15" x14ac:dyDescent="0.25">
      <c r="B4" s="6"/>
      <c r="C4" s="7"/>
    </row>
    <row r="5" spans="1:15" x14ac:dyDescent="0.25">
      <c r="A5" s="8" t="s">
        <v>26</v>
      </c>
    </row>
    <row r="6" spans="1:15" x14ac:dyDescent="0.25">
      <c r="A6" s="8" t="str">
        <f>Volume!B6</f>
        <v>NB</v>
      </c>
    </row>
    <row r="7" spans="1:15" x14ac:dyDescent="0.25">
      <c r="A7" s="9"/>
      <c r="B7" s="15" t="s">
        <v>27</v>
      </c>
      <c r="C7" s="15" t="s">
        <v>29</v>
      </c>
      <c r="D7" s="15" t="s">
        <v>31</v>
      </c>
      <c r="E7" s="32" t="s">
        <v>33</v>
      </c>
      <c r="F7" s="15" t="s">
        <v>31</v>
      </c>
      <c r="G7" s="15" t="s">
        <v>35</v>
      </c>
      <c r="H7" s="15" t="s">
        <v>37</v>
      </c>
      <c r="I7" s="15" t="s">
        <v>38</v>
      </c>
      <c r="J7" s="15" t="s">
        <v>40</v>
      </c>
      <c r="K7" s="15" t="s">
        <v>41</v>
      </c>
      <c r="L7" s="15" t="s">
        <v>41</v>
      </c>
      <c r="M7" s="15" t="s">
        <v>43</v>
      </c>
      <c r="N7" s="15" t="s">
        <v>41</v>
      </c>
      <c r="O7" s="15"/>
    </row>
    <row r="8" spans="1:15" s="1" customFormat="1" x14ac:dyDescent="0.25">
      <c r="A8" s="13" t="s">
        <v>10</v>
      </c>
      <c r="B8" s="16" t="s">
        <v>28</v>
      </c>
      <c r="C8" s="16" t="s">
        <v>30</v>
      </c>
      <c r="D8" s="16" t="s">
        <v>32</v>
      </c>
      <c r="E8" s="33"/>
      <c r="F8" s="16" t="s">
        <v>34</v>
      </c>
      <c r="G8" s="16" t="s">
        <v>36</v>
      </c>
      <c r="H8" s="16" t="s">
        <v>36</v>
      </c>
      <c r="I8" s="16" t="s">
        <v>39</v>
      </c>
      <c r="J8" s="16" t="s">
        <v>39</v>
      </c>
      <c r="K8" s="16" t="s">
        <v>39</v>
      </c>
      <c r="L8" s="16" t="s">
        <v>42</v>
      </c>
      <c r="M8" s="16" t="s">
        <v>42</v>
      </c>
      <c r="N8" s="16" t="s">
        <v>42</v>
      </c>
      <c r="O8" s="16" t="s">
        <v>6</v>
      </c>
    </row>
    <row r="9" spans="1:15" x14ac:dyDescent="0.25">
      <c r="A9" s="4">
        <v>0</v>
      </c>
      <c r="B9" s="5">
        <v>0</v>
      </c>
      <c r="C9" s="5">
        <v>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16">
        <f>SUM(B9:N9)</f>
        <v>2</v>
      </c>
    </row>
    <row r="10" spans="1:15" x14ac:dyDescent="0.25">
      <c r="A10" s="4">
        <v>4.1666666666666664E-2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16">
        <f t="shared" ref="O10:O32" si="0">SUM(B10:N10)</f>
        <v>0</v>
      </c>
    </row>
    <row r="11" spans="1:15" x14ac:dyDescent="0.25">
      <c r="A11" s="4">
        <v>8.3333333333333329E-2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16">
        <f t="shared" si="0"/>
        <v>1</v>
      </c>
    </row>
    <row r="12" spans="1:15" x14ac:dyDescent="0.25">
      <c r="A12" s="4">
        <v>0.125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16">
        <f t="shared" si="0"/>
        <v>0</v>
      </c>
    </row>
    <row r="13" spans="1:15" x14ac:dyDescent="0.25">
      <c r="A13" s="4">
        <v>0.16666666666666699</v>
      </c>
      <c r="B13" s="5">
        <v>2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16">
        <f t="shared" si="0"/>
        <v>3</v>
      </c>
    </row>
    <row r="14" spans="1:15" x14ac:dyDescent="0.25">
      <c r="A14" s="4">
        <v>0.20833333333333301</v>
      </c>
      <c r="B14" s="5">
        <v>0</v>
      </c>
      <c r="C14" s="5">
        <v>1</v>
      </c>
      <c r="D14" s="5">
        <v>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16">
        <f t="shared" si="0"/>
        <v>3</v>
      </c>
    </row>
    <row r="15" spans="1:15" x14ac:dyDescent="0.25">
      <c r="A15" s="4">
        <v>0.25</v>
      </c>
      <c r="B15" s="5">
        <v>0</v>
      </c>
      <c r="C15" s="5">
        <v>5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16">
        <f t="shared" si="0"/>
        <v>6</v>
      </c>
    </row>
    <row r="16" spans="1:15" x14ac:dyDescent="0.25">
      <c r="A16" s="4">
        <v>0.29166666666666702</v>
      </c>
      <c r="B16" s="5">
        <v>4</v>
      </c>
      <c r="C16" s="5">
        <v>19</v>
      </c>
      <c r="D16" s="5">
        <v>2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16">
        <f t="shared" si="0"/>
        <v>26</v>
      </c>
    </row>
    <row r="17" spans="1:15" x14ac:dyDescent="0.25">
      <c r="A17" s="4">
        <v>0.33333333333333298</v>
      </c>
      <c r="B17" s="5">
        <v>2</v>
      </c>
      <c r="C17" s="5">
        <v>17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16">
        <f t="shared" si="0"/>
        <v>21</v>
      </c>
    </row>
    <row r="18" spans="1:15" x14ac:dyDescent="0.25">
      <c r="A18" s="4">
        <v>0.375</v>
      </c>
      <c r="B18" s="5">
        <v>1</v>
      </c>
      <c r="C18" s="5">
        <v>11</v>
      </c>
      <c r="D18" s="5">
        <v>1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16">
        <f t="shared" si="0"/>
        <v>15</v>
      </c>
    </row>
    <row r="19" spans="1:15" x14ac:dyDescent="0.25">
      <c r="A19" s="4">
        <v>0.41666666666666702</v>
      </c>
      <c r="B19" s="5">
        <v>2</v>
      </c>
      <c r="C19" s="5">
        <v>8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16">
        <f t="shared" si="0"/>
        <v>11</v>
      </c>
    </row>
    <row r="20" spans="1:15" x14ac:dyDescent="0.25">
      <c r="A20" s="4">
        <v>0.45833333333333298</v>
      </c>
      <c r="B20" s="5">
        <v>0</v>
      </c>
      <c r="C20" s="5">
        <v>10</v>
      </c>
      <c r="D20" s="5">
        <v>0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16">
        <f t="shared" si="0"/>
        <v>12</v>
      </c>
    </row>
    <row r="21" spans="1:15" x14ac:dyDescent="0.25">
      <c r="A21" s="4">
        <v>0.5</v>
      </c>
      <c r="B21" s="5">
        <v>0</v>
      </c>
      <c r="C21" s="5">
        <v>4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16">
        <f t="shared" si="0"/>
        <v>7</v>
      </c>
    </row>
    <row r="22" spans="1:15" x14ac:dyDescent="0.25">
      <c r="A22" s="4">
        <v>0.54166666666666696</v>
      </c>
      <c r="B22" s="5">
        <v>1</v>
      </c>
      <c r="C22" s="5">
        <v>17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16">
        <f t="shared" si="0"/>
        <v>20</v>
      </c>
    </row>
    <row r="23" spans="1:15" x14ac:dyDescent="0.25">
      <c r="A23" s="4">
        <v>0.58333333333333304</v>
      </c>
      <c r="B23" s="5">
        <v>0</v>
      </c>
      <c r="C23" s="5">
        <v>10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16">
        <f t="shared" si="0"/>
        <v>12</v>
      </c>
    </row>
    <row r="24" spans="1:15" x14ac:dyDescent="0.25">
      <c r="A24" s="4">
        <v>0.625</v>
      </c>
      <c r="B24" s="5">
        <v>1</v>
      </c>
      <c r="C24" s="5">
        <v>13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16">
        <f t="shared" si="0"/>
        <v>15</v>
      </c>
    </row>
    <row r="25" spans="1:15" x14ac:dyDescent="0.25">
      <c r="A25" s="4">
        <v>0.66666666666666696</v>
      </c>
      <c r="B25" s="5">
        <v>0</v>
      </c>
      <c r="C25" s="5">
        <v>8</v>
      </c>
      <c r="D25" s="5">
        <v>1</v>
      </c>
      <c r="E25" s="5">
        <v>0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16">
        <f t="shared" si="0"/>
        <v>11</v>
      </c>
    </row>
    <row r="26" spans="1:15" x14ac:dyDescent="0.25">
      <c r="A26" s="4">
        <v>0.70833333333333304</v>
      </c>
      <c r="B26" s="5">
        <v>0</v>
      </c>
      <c r="C26" s="5">
        <v>13</v>
      </c>
      <c r="D26" s="5">
        <v>2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16">
        <f t="shared" si="0"/>
        <v>16</v>
      </c>
    </row>
    <row r="27" spans="1:15" x14ac:dyDescent="0.25">
      <c r="A27" s="4">
        <v>0.75</v>
      </c>
      <c r="B27" s="5">
        <v>0</v>
      </c>
      <c r="C27" s="5">
        <v>19</v>
      </c>
      <c r="D27" s="5">
        <v>3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16">
        <f t="shared" si="0"/>
        <v>23</v>
      </c>
    </row>
    <row r="28" spans="1:15" x14ac:dyDescent="0.25">
      <c r="A28" s="4">
        <v>0.79166666666666696</v>
      </c>
      <c r="B28" s="5">
        <v>1</v>
      </c>
      <c r="C28" s="5">
        <v>10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16">
        <f t="shared" si="0"/>
        <v>11</v>
      </c>
    </row>
    <row r="29" spans="1:15" x14ac:dyDescent="0.25">
      <c r="A29" s="4">
        <v>0.83333333333333304</v>
      </c>
      <c r="B29" s="5">
        <v>0</v>
      </c>
      <c r="C29" s="5">
        <v>10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16">
        <f t="shared" si="0"/>
        <v>10</v>
      </c>
    </row>
    <row r="30" spans="1:15" x14ac:dyDescent="0.25">
      <c r="A30" s="4">
        <v>0.875</v>
      </c>
      <c r="B30" s="5">
        <v>0</v>
      </c>
      <c r="C30" s="5">
        <v>11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16">
        <f t="shared" si="0"/>
        <v>11</v>
      </c>
    </row>
    <row r="31" spans="1:15" x14ac:dyDescent="0.25">
      <c r="A31" s="4">
        <v>0.91666666666666696</v>
      </c>
      <c r="B31" s="5">
        <v>0</v>
      </c>
      <c r="C31" s="5">
        <v>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16">
        <f t="shared" si="0"/>
        <v>4</v>
      </c>
    </row>
    <row r="32" spans="1:15" x14ac:dyDescent="0.25">
      <c r="A32" s="4">
        <v>0.95833333333333304</v>
      </c>
      <c r="B32" s="5">
        <v>0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16">
        <f t="shared" si="0"/>
        <v>3</v>
      </c>
    </row>
    <row r="33" spans="1:16" x14ac:dyDescent="0.25">
      <c r="A33" s="10"/>
      <c r="B33" s="11"/>
      <c r="C33" s="11"/>
      <c r="D33" s="11"/>
      <c r="E33" s="11"/>
      <c r="F33" s="11"/>
      <c r="G33" s="11"/>
    </row>
    <row r="34" spans="1:16" x14ac:dyDescent="0.25">
      <c r="A34" s="4" t="s">
        <v>6</v>
      </c>
      <c r="B34" s="3">
        <f>SUM(B9:B32)</f>
        <v>14</v>
      </c>
      <c r="C34" s="3">
        <f t="shared" ref="C34:O34" si="1">SUM(C9:C32)</f>
        <v>197</v>
      </c>
      <c r="D34" s="3">
        <f t="shared" si="1"/>
        <v>18</v>
      </c>
      <c r="E34" s="3">
        <f t="shared" si="1"/>
        <v>1</v>
      </c>
      <c r="F34" s="3">
        <f t="shared" si="1"/>
        <v>12</v>
      </c>
      <c r="G34" s="3">
        <f t="shared" si="1"/>
        <v>0</v>
      </c>
      <c r="H34" s="3">
        <f t="shared" si="1"/>
        <v>1</v>
      </c>
      <c r="I34" s="3">
        <f t="shared" si="1"/>
        <v>0</v>
      </c>
      <c r="J34" s="3">
        <f t="shared" si="1"/>
        <v>0</v>
      </c>
      <c r="K34" s="3">
        <f t="shared" si="1"/>
        <v>0</v>
      </c>
      <c r="L34" s="3">
        <f t="shared" si="1"/>
        <v>0</v>
      </c>
      <c r="M34" s="3">
        <f t="shared" si="1"/>
        <v>0</v>
      </c>
      <c r="N34" s="3">
        <f t="shared" si="1"/>
        <v>0</v>
      </c>
      <c r="O34" s="3">
        <f t="shared" si="1"/>
        <v>243</v>
      </c>
    </row>
    <row r="35" spans="1:16" x14ac:dyDescent="0.25">
      <c r="A35" s="4" t="s">
        <v>11</v>
      </c>
      <c r="B35" s="17">
        <f>SUM(B34)/$O$34</f>
        <v>5.7613168724279837E-2</v>
      </c>
      <c r="C35" s="17">
        <f t="shared" ref="C35:N35" si="2">SUM(C34)/$O$34</f>
        <v>0.81069958847736623</v>
      </c>
      <c r="D35" s="17">
        <f t="shared" si="2"/>
        <v>7.407407407407407E-2</v>
      </c>
      <c r="E35" s="17">
        <f t="shared" si="2"/>
        <v>4.11522633744856E-3</v>
      </c>
      <c r="F35" s="17">
        <f t="shared" si="2"/>
        <v>4.9382716049382713E-2</v>
      </c>
      <c r="G35" s="17">
        <f t="shared" si="2"/>
        <v>0</v>
      </c>
      <c r="H35" s="17">
        <f t="shared" si="2"/>
        <v>4.11522633744856E-3</v>
      </c>
      <c r="I35" s="17">
        <f t="shared" si="2"/>
        <v>0</v>
      </c>
      <c r="J35" s="17">
        <f t="shared" si="2"/>
        <v>0</v>
      </c>
      <c r="K35" s="17">
        <f t="shared" si="2"/>
        <v>0</v>
      </c>
      <c r="L35" s="17">
        <f t="shared" si="2"/>
        <v>0</v>
      </c>
      <c r="M35" s="17">
        <f t="shared" si="2"/>
        <v>0</v>
      </c>
      <c r="N35" s="17">
        <f t="shared" si="2"/>
        <v>0</v>
      </c>
      <c r="O35" s="18"/>
    </row>
    <row r="36" spans="1:16" x14ac:dyDescent="0.25">
      <c r="A36" s="10"/>
      <c r="B36" s="11"/>
      <c r="C36" s="11"/>
      <c r="D36" s="11"/>
      <c r="E36" s="11"/>
      <c r="F36" s="11"/>
      <c r="G36" s="11"/>
      <c r="P36" t="s">
        <v>47</v>
      </c>
    </row>
    <row r="37" spans="1:16" x14ac:dyDescent="0.25">
      <c r="A37" s="10"/>
      <c r="B37" s="11"/>
      <c r="C37" s="11"/>
      <c r="D37" s="19"/>
      <c r="E37" s="20"/>
      <c r="F37" s="11"/>
      <c r="G37" s="11"/>
    </row>
    <row r="38" spans="1:16" x14ac:dyDescent="0.25">
      <c r="A38" s="10"/>
      <c r="B38" s="5"/>
      <c r="C38" s="22" t="s">
        <v>44</v>
      </c>
      <c r="D38" s="22">
        <f>SUM(B34)</f>
        <v>14</v>
      </c>
      <c r="E38" s="29">
        <f>(D38)/$O$34</f>
        <v>5.7613168724279837E-2</v>
      </c>
      <c r="F38" s="29"/>
      <c r="G38" s="11"/>
    </row>
    <row r="39" spans="1:16" x14ac:dyDescent="0.25">
      <c r="A39" s="10"/>
      <c r="B39" s="30" t="s">
        <v>45</v>
      </c>
      <c r="C39" s="31"/>
      <c r="D39" s="22">
        <f>SUM(C34:D34)</f>
        <v>215</v>
      </c>
      <c r="E39" s="29">
        <f t="shared" ref="E39:E40" si="3">SUM(D39)/$O$34</f>
        <v>0.8847736625514403</v>
      </c>
      <c r="F39" s="29"/>
      <c r="G39" s="11"/>
    </row>
    <row r="40" spans="1:16" x14ac:dyDescent="0.25">
      <c r="A40" s="10"/>
      <c r="B40" s="5"/>
      <c r="C40" s="22" t="s">
        <v>46</v>
      </c>
      <c r="D40" s="22">
        <f>SUM(E34:N34)</f>
        <v>14</v>
      </c>
      <c r="E40" s="29">
        <f t="shared" si="3"/>
        <v>5.7613168724279837E-2</v>
      </c>
      <c r="F40" s="29"/>
      <c r="G40" s="11"/>
    </row>
    <row r="41" spans="1:16" x14ac:dyDescent="0.25">
      <c r="A41" s="10"/>
      <c r="B41" s="11"/>
      <c r="C41" s="11"/>
      <c r="D41" s="19"/>
      <c r="E41" s="20"/>
      <c r="F41" s="11"/>
      <c r="G41" s="11"/>
    </row>
    <row r="42" spans="1:16" x14ac:dyDescent="0.25">
      <c r="A42" s="10"/>
      <c r="B42" s="11"/>
      <c r="C42" s="11"/>
      <c r="D42" s="19"/>
      <c r="E42" s="20"/>
      <c r="F42" s="11"/>
      <c r="G42" s="11"/>
    </row>
    <row r="43" spans="1:16" x14ac:dyDescent="0.25">
      <c r="A43" s="10"/>
      <c r="B43" s="11"/>
      <c r="C43" s="11"/>
      <c r="D43" s="19"/>
      <c r="E43" s="20"/>
      <c r="F43" s="11"/>
      <c r="G43" s="11"/>
    </row>
    <row r="44" spans="1:16" x14ac:dyDescent="0.25">
      <c r="A44" s="10"/>
      <c r="B44" s="11"/>
      <c r="C44" s="11"/>
      <c r="D44" s="19"/>
      <c r="E44" s="20"/>
      <c r="F44" s="11"/>
      <c r="G44" s="11"/>
    </row>
    <row r="45" spans="1:16" x14ac:dyDescent="0.25">
      <c r="A45" s="10"/>
      <c r="B45" s="11"/>
      <c r="C45" s="11"/>
      <c r="D45" s="19"/>
      <c r="E45" s="19"/>
      <c r="F45" s="11"/>
      <c r="G45" s="11"/>
    </row>
    <row r="46" spans="1:16" x14ac:dyDescent="0.25">
      <c r="A46" s="10"/>
      <c r="B46" s="11"/>
      <c r="C46" s="11"/>
      <c r="D46" s="19"/>
      <c r="E46" s="21"/>
      <c r="F46" s="11"/>
      <c r="G46" s="11"/>
    </row>
    <row r="47" spans="1:16" x14ac:dyDescent="0.25">
      <c r="A47" s="10"/>
      <c r="B47" s="11"/>
      <c r="C47" s="11"/>
      <c r="D47" s="19"/>
      <c r="E47" s="19"/>
      <c r="F47" s="11"/>
      <c r="G47" s="11"/>
    </row>
    <row r="48" spans="1:16" x14ac:dyDescent="0.25">
      <c r="A48" s="10"/>
      <c r="B48" s="11"/>
      <c r="C48" s="11"/>
      <c r="D48" s="19"/>
      <c r="E48" s="21"/>
      <c r="F48" s="11"/>
      <c r="G48" s="11"/>
    </row>
    <row r="49" spans="1:7" x14ac:dyDescent="0.25">
      <c r="A49" s="10"/>
      <c r="B49" s="11"/>
      <c r="C49" s="11"/>
      <c r="D49" s="19"/>
      <c r="E49" s="19"/>
      <c r="F49" s="11"/>
      <c r="G49" s="11"/>
    </row>
    <row r="50" spans="1:7" x14ac:dyDescent="0.25">
      <c r="A50" s="10"/>
      <c r="B50" s="11"/>
      <c r="C50" s="11"/>
      <c r="D50" s="19"/>
      <c r="E50" s="21"/>
      <c r="F50" s="11"/>
      <c r="G50" s="11"/>
    </row>
    <row r="51" spans="1:7" x14ac:dyDescent="0.25">
      <c r="A51" s="10"/>
      <c r="B51" s="11"/>
      <c r="C51" s="11"/>
      <c r="D51" s="19"/>
      <c r="E51" s="19"/>
      <c r="F51" s="11"/>
      <c r="G51" s="11"/>
    </row>
    <row r="52" spans="1:7" x14ac:dyDescent="0.25">
      <c r="A52" s="10"/>
      <c r="B52" s="11"/>
      <c r="C52" s="11"/>
      <c r="D52" s="19"/>
      <c r="E52" s="21"/>
      <c r="F52" s="11"/>
      <c r="G52" s="11"/>
    </row>
    <row r="53" spans="1:7" x14ac:dyDescent="0.25">
      <c r="A53" s="10"/>
      <c r="B53" s="11"/>
      <c r="C53" s="11"/>
      <c r="D53" s="11"/>
      <c r="E53" s="11"/>
      <c r="F53" s="11"/>
      <c r="G53" s="11"/>
    </row>
    <row r="54" spans="1:7" x14ac:dyDescent="0.25">
      <c r="A54" s="10"/>
      <c r="B54" s="11"/>
      <c r="C54" s="11"/>
      <c r="D54" s="11"/>
      <c r="E54" s="11"/>
      <c r="F54" s="11"/>
      <c r="G54" s="11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1"/>
      <c r="C59" s="11"/>
      <c r="D59" s="11"/>
      <c r="E59" s="11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x14ac:dyDescent="0.25">
      <c r="A69" s="10"/>
      <c r="B69" s="11"/>
      <c r="C69" s="11"/>
      <c r="D69" s="11"/>
      <c r="E69" s="11"/>
      <c r="F69" s="11"/>
      <c r="G69" s="11"/>
    </row>
    <row r="70" spans="1:7" x14ac:dyDescent="0.25">
      <c r="A70" s="10"/>
      <c r="B70" s="11"/>
      <c r="C70" s="11"/>
      <c r="D70" s="11"/>
      <c r="E70" s="11"/>
      <c r="F70" s="11"/>
      <c r="G70" s="11"/>
    </row>
    <row r="71" spans="1:7" x14ac:dyDescent="0.25">
      <c r="A71" s="10"/>
      <c r="B71" s="11"/>
      <c r="C71" s="11"/>
      <c r="D71" s="11"/>
      <c r="E71" s="11"/>
      <c r="F71" s="11"/>
      <c r="G71" s="11"/>
    </row>
    <row r="72" spans="1:7" x14ac:dyDescent="0.25">
      <c r="A72" s="10"/>
      <c r="B72" s="11"/>
      <c r="C72" s="11"/>
      <c r="D72" s="11"/>
      <c r="E72" s="11"/>
      <c r="F72" s="11"/>
      <c r="G72" s="11"/>
    </row>
    <row r="73" spans="1:7" x14ac:dyDescent="0.25">
      <c r="A73" s="10"/>
      <c r="B73" s="11"/>
      <c r="C73" s="11"/>
      <c r="D73" s="11"/>
      <c r="E73" s="11"/>
      <c r="F73" s="11"/>
      <c r="G73" s="11"/>
    </row>
    <row r="74" spans="1:7" x14ac:dyDescent="0.25">
      <c r="A74" s="10"/>
      <c r="B74" s="11"/>
      <c r="C74" s="11"/>
      <c r="D74" s="11"/>
      <c r="E74" s="11"/>
      <c r="F74" s="11"/>
      <c r="G74" s="11"/>
    </row>
    <row r="75" spans="1:7" x14ac:dyDescent="0.25">
      <c r="A75" s="10"/>
      <c r="B75" s="11"/>
      <c r="C75" s="11"/>
      <c r="D75" s="11"/>
      <c r="E75" s="11"/>
      <c r="F75" s="11"/>
      <c r="G75" s="11"/>
    </row>
    <row r="76" spans="1:7" x14ac:dyDescent="0.25">
      <c r="A76" s="10"/>
      <c r="B76" s="11"/>
      <c r="C76" s="11"/>
      <c r="D76" s="11"/>
      <c r="E76" s="11"/>
      <c r="F76" s="11"/>
      <c r="G76" s="11"/>
    </row>
    <row r="77" spans="1:7" x14ac:dyDescent="0.25">
      <c r="A77" s="10"/>
      <c r="B77" s="11"/>
      <c r="C77" s="11"/>
      <c r="D77" s="11"/>
      <c r="E77" s="11"/>
      <c r="F77" s="11"/>
      <c r="G77" s="11"/>
    </row>
    <row r="78" spans="1:7" x14ac:dyDescent="0.25">
      <c r="A78" s="10"/>
      <c r="B78" s="11"/>
      <c r="C78" s="11"/>
      <c r="D78" s="11"/>
      <c r="E78" s="11"/>
      <c r="F78" s="11"/>
      <c r="G78" s="11"/>
    </row>
    <row r="79" spans="1:7" x14ac:dyDescent="0.25">
      <c r="A79" s="10"/>
      <c r="B79" s="11"/>
      <c r="C79" s="11"/>
      <c r="D79" s="11"/>
      <c r="E79" s="11"/>
      <c r="F79" s="11"/>
      <c r="G79" s="11"/>
    </row>
    <row r="80" spans="1:7" x14ac:dyDescent="0.25">
      <c r="A80" s="10"/>
      <c r="B80" s="11"/>
      <c r="C80" s="11"/>
      <c r="D80" s="11"/>
      <c r="E80" s="11"/>
      <c r="F80" s="11"/>
      <c r="G80" s="11"/>
    </row>
    <row r="81" spans="1:7" x14ac:dyDescent="0.25">
      <c r="A81" s="10"/>
      <c r="B81" s="11"/>
      <c r="C81" s="11"/>
      <c r="D81" s="11"/>
      <c r="E81" s="11"/>
      <c r="F81" s="11"/>
      <c r="G81" s="11"/>
    </row>
    <row r="82" spans="1:7" x14ac:dyDescent="0.25">
      <c r="A82" s="10"/>
      <c r="B82" s="11"/>
      <c r="C82" s="11"/>
      <c r="D82" s="11"/>
      <c r="E82" s="11"/>
      <c r="F82" s="11"/>
      <c r="G82" s="11"/>
    </row>
    <row r="83" spans="1:7" x14ac:dyDescent="0.25">
      <c r="A83" s="10"/>
      <c r="B83" s="11"/>
      <c r="C83" s="11"/>
      <c r="D83" s="11"/>
      <c r="E83" s="11"/>
      <c r="F83" s="11"/>
      <c r="G83" s="11"/>
    </row>
    <row r="84" spans="1:7" x14ac:dyDescent="0.25">
      <c r="A84" s="10"/>
      <c r="B84" s="11"/>
      <c r="C84" s="11"/>
      <c r="D84" s="11"/>
      <c r="E84" s="11"/>
      <c r="F84" s="11"/>
      <c r="G84" s="11"/>
    </row>
    <row r="85" spans="1:7" x14ac:dyDescent="0.25">
      <c r="A85" s="10"/>
      <c r="B85" s="11"/>
      <c r="C85" s="11"/>
      <c r="D85" s="11"/>
      <c r="E85" s="11"/>
      <c r="F85" s="11"/>
      <c r="G85" s="11"/>
    </row>
    <row r="86" spans="1:7" x14ac:dyDescent="0.25">
      <c r="A86" s="10"/>
      <c r="B86" s="11"/>
      <c r="C86" s="11"/>
      <c r="D86" s="11"/>
      <c r="E86" s="11"/>
      <c r="F86" s="11"/>
      <c r="G86" s="11"/>
    </row>
    <row r="87" spans="1:7" x14ac:dyDescent="0.25">
      <c r="A87" s="10"/>
      <c r="B87" s="11"/>
      <c r="C87" s="11"/>
      <c r="D87" s="11"/>
      <c r="E87" s="11"/>
      <c r="F87" s="11"/>
      <c r="G87" s="11"/>
    </row>
    <row r="88" spans="1:7" x14ac:dyDescent="0.25">
      <c r="A88" s="10"/>
      <c r="B88" s="11"/>
      <c r="C88" s="11"/>
      <c r="D88" s="11"/>
      <c r="E88" s="11"/>
      <c r="F88" s="11"/>
      <c r="G88" s="11"/>
    </row>
    <row r="89" spans="1:7" x14ac:dyDescent="0.25">
      <c r="A89" s="10"/>
      <c r="B89" s="11"/>
      <c r="C89" s="11"/>
      <c r="D89" s="11"/>
      <c r="E89" s="11"/>
      <c r="F89" s="11"/>
      <c r="G89" s="11"/>
    </row>
    <row r="90" spans="1:7" x14ac:dyDescent="0.25">
      <c r="A90" s="10"/>
      <c r="B90" s="11"/>
      <c r="C90" s="11"/>
      <c r="D90" s="11"/>
      <c r="E90" s="11"/>
      <c r="F90" s="11"/>
      <c r="G90" s="11"/>
    </row>
    <row r="91" spans="1:7" x14ac:dyDescent="0.25">
      <c r="A91" s="10"/>
      <c r="B91" s="11"/>
      <c r="C91" s="11"/>
      <c r="D91" s="11"/>
      <c r="E91" s="11"/>
      <c r="F91" s="11"/>
      <c r="G91" s="11"/>
    </row>
    <row r="92" spans="1:7" x14ac:dyDescent="0.25">
      <c r="A92" s="10"/>
      <c r="B92" s="11"/>
      <c r="C92" s="11"/>
      <c r="D92" s="11"/>
      <c r="E92" s="11"/>
      <c r="F92" s="11"/>
      <c r="G92" s="11"/>
    </row>
    <row r="93" spans="1:7" x14ac:dyDescent="0.25">
      <c r="A93" s="10"/>
      <c r="B93" s="11"/>
      <c r="C93" s="11"/>
      <c r="D93" s="11"/>
      <c r="E93" s="11"/>
      <c r="F93" s="11"/>
      <c r="G93" s="11"/>
    </row>
    <row r="94" spans="1:7" x14ac:dyDescent="0.25">
      <c r="A94" s="10"/>
      <c r="B94" s="11"/>
      <c r="C94" s="11"/>
      <c r="D94" s="11"/>
      <c r="E94" s="11"/>
      <c r="F94" s="11"/>
      <c r="G94" s="11"/>
    </row>
    <row r="95" spans="1:7" x14ac:dyDescent="0.25">
      <c r="A95" s="10"/>
      <c r="B95" s="11"/>
      <c r="C95" s="11"/>
      <c r="D95" s="11"/>
      <c r="E95" s="11"/>
      <c r="F95" s="11"/>
      <c r="G95" s="11"/>
    </row>
    <row r="96" spans="1:7" x14ac:dyDescent="0.25">
      <c r="A96" s="10"/>
      <c r="B96" s="11"/>
      <c r="C96" s="11"/>
      <c r="D96" s="11"/>
      <c r="E96" s="11"/>
      <c r="F96" s="11"/>
      <c r="G96" s="11"/>
    </row>
    <row r="97" spans="1:7" x14ac:dyDescent="0.25">
      <c r="A97" s="10"/>
      <c r="B97" s="11"/>
      <c r="C97" s="11"/>
      <c r="D97" s="11"/>
      <c r="E97" s="11"/>
      <c r="F97" s="11"/>
      <c r="G97" s="11"/>
    </row>
    <row r="98" spans="1:7" x14ac:dyDescent="0.25">
      <c r="A98" s="10"/>
      <c r="B98" s="11"/>
      <c r="C98" s="11"/>
      <c r="D98" s="11"/>
      <c r="E98" s="11"/>
      <c r="F98" s="11"/>
      <c r="G98" s="11"/>
    </row>
    <row r="99" spans="1:7" x14ac:dyDescent="0.25">
      <c r="A99" s="10"/>
      <c r="B99" s="11"/>
      <c r="C99" s="11"/>
      <c r="D99" s="11"/>
      <c r="E99" s="11"/>
      <c r="F99" s="11"/>
      <c r="G99" s="11"/>
    </row>
    <row r="100" spans="1:7" x14ac:dyDescent="0.25">
      <c r="A100" s="10"/>
      <c r="B100" s="11"/>
      <c r="C100" s="11"/>
      <c r="D100" s="11"/>
      <c r="E100" s="11"/>
      <c r="F100" s="11"/>
      <c r="G100" s="11"/>
    </row>
    <row r="101" spans="1:7" x14ac:dyDescent="0.25">
      <c r="A101" s="10"/>
      <c r="B101" s="11"/>
      <c r="C101" s="11"/>
      <c r="D101" s="11"/>
      <c r="E101" s="11"/>
      <c r="F101" s="11"/>
      <c r="G101" s="11"/>
    </row>
    <row r="102" spans="1:7" x14ac:dyDescent="0.25">
      <c r="A102" s="10"/>
      <c r="B102" s="11"/>
      <c r="C102" s="11"/>
      <c r="D102" s="11"/>
      <c r="E102" s="11"/>
      <c r="F102" s="11"/>
      <c r="G102" s="11"/>
    </row>
    <row r="103" spans="1:7" x14ac:dyDescent="0.25">
      <c r="A103" s="10"/>
      <c r="B103" s="11"/>
      <c r="C103" s="11"/>
      <c r="D103" s="11"/>
      <c r="E103" s="11"/>
      <c r="F103" s="11"/>
      <c r="G103" s="11"/>
    </row>
    <row r="104" spans="1:7" x14ac:dyDescent="0.25">
      <c r="A104" s="10"/>
      <c r="B104" s="11"/>
      <c r="C104" s="11"/>
      <c r="D104" s="11"/>
      <c r="E104" s="11"/>
      <c r="F104" s="11"/>
      <c r="G104" s="11"/>
    </row>
    <row r="105" spans="1:7" x14ac:dyDescent="0.25">
      <c r="A105" s="11"/>
      <c r="B105" s="12"/>
      <c r="C105" s="12"/>
      <c r="D105" s="11"/>
      <c r="E105" s="12"/>
      <c r="F105" s="12"/>
      <c r="G105" s="12"/>
    </row>
    <row r="106" spans="1:7" x14ac:dyDescent="0.25">
      <c r="A106" s="13"/>
      <c r="B106" s="13"/>
      <c r="C106" s="13"/>
      <c r="D106" s="13"/>
      <c r="E106" s="13"/>
      <c r="F106" s="13"/>
      <c r="G106" s="12"/>
    </row>
    <row r="107" spans="1:7" x14ac:dyDescent="0.25">
      <c r="A107" s="13"/>
      <c r="B107" s="11"/>
      <c r="C107" s="11"/>
      <c r="D107" s="11"/>
      <c r="E107" s="11"/>
      <c r="F107" s="11"/>
      <c r="G107" s="12"/>
    </row>
  </sheetData>
  <mergeCells count="5">
    <mergeCell ref="E38:F38"/>
    <mergeCell ref="E39:F39"/>
    <mergeCell ref="E40:F40"/>
    <mergeCell ref="B39:C39"/>
    <mergeCell ref="E7:E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Volume</vt:lpstr>
      <vt:lpstr>Speed-1</vt:lpstr>
      <vt:lpstr>Classification-1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 Dell</dc:creator>
  <cp:lastModifiedBy>PDI Dell</cp:lastModifiedBy>
  <dcterms:created xsi:type="dcterms:W3CDTF">2013-08-23T12:07:42Z</dcterms:created>
  <dcterms:modified xsi:type="dcterms:W3CDTF">2017-01-12T20:49:03Z</dcterms:modified>
</cp:coreProperties>
</file>